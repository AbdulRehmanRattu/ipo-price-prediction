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HIVANI\Desktop\Desktop\Ph.D\THESIS\DATA\Analysis II\"/>
    </mc:Choice>
  </mc:AlternateContent>
  <xr:revisionPtr revIDLastSave="0" documentId="13_ncr:1_{AE26FD66-DD46-4DF7-B61E-ADD10B3CD39B}" xr6:coauthVersionLast="47" xr6:coauthVersionMax="47" xr10:uidLastSave="{00000000-0000-0000-0000-000000000000}"/>
  <bookViews>
    <workbookView xWindow="-110" yWindow="-110" windowWidth="22780" windowHeight="14540" xr2:uid="{A636991D-482E-4AD4-B149-A8115C42328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97" i="1" l="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<sst xmlns="http://schemas.openxmlformats.org/spreadsheetml/2006/main" count="777" uniqueCount="384">
  <si>
    <t>S. No.</t>
  </si>
  <si>
    <t>Name of the IPO</t>
  </si>
  <si>
    <t xml:space="preserve">Year of IPO </t>
  </si>
  <si>
    <t>Industry Classification</t>
  </si>
  <si>
    <t>Offer Price</t>
  </si>
  <si>
    <t>Issue Size (cr.)</t>
  </si>
  <si>
    <t>Age</t>
  </si>
  <si>
    <t>Listing Delay</t>
  </si>
  <si>
    <t>Promoter Holding</t>
  </si>
  <si>
    <t>Total Subscription Rate</t>
  </si>
  <si>
    <t>Number of Shares Offered</t>
  </si>
  <si>
    <t>Sales (Rs. Million)</t>
  </si>
  <si>
    <t>PAT (Rs. Million)</t>
  </si>
  <si>
    <t>Total Assets (Rs. Million)</t>
  </si>
  <si>
    <t>D/E RATIO</t>
  </si>
  <si>
    <t>Inflation Rate</t>
  </si>
  <si>
    <t>GDP Growth Rate</t>
  </si>
  <si>
    <r>
      <t>Interest Rate (RBI Repo Rate)</t>
    </r>
    <r>
      <rPr>
        <sz val="11"/>
        <color theme="1"/>
        <rFont val="Calibri"/>
        <family val="2"/>
        <scheme val="minor"/>
      </rPr>
      <t xml:space="preserve"> </t>
    </r>
  </si>
  <si>
    <r>
      <t>Unemployment Rate</t>
    </r>
    <r>
      <rPr>
        <sz val="11"/>
        <color theme="1"/>
        <rFont val="Calibri"/>
        <family val="2"/>
        <scheme val="minor"/>
      </rPr>
      <t xml:space="preserve"> </t>
    </r>
    <r>
      <rPr>
        <b/>
        <sz val="11"/>
        <color theme="1"/>
        <rFont val="Calibri"/>
        <family val="2"/>
        <scheme val="minor"/>
      </rPr>
      <t>(%)</t>
    </r>
  </si>
  <si>
    <r>
      <t>Stock Market Index Performance (Nifty 50, BSE Sensex)</t>
    </r>
    <r>
      <rPr>
        <sz val="11"/>
        <color theme="1"/>
        <rFont val="Calibri"/>
        <family val="2"/>
        <scheme val="minor"/>
      </rPr>
      <t xml:space="preserve"> </t>
    </r>
  </si>
  <si>
    <t>Exchange Rate (INR/USD)</t>
  </si>
  <si>
    <t>Market Volatility (VIX Index)</t>
  </si>
  <si>
    <t>Underpricing (%)</t>
  </si>
  <si>
    <t>One Year Return (%)</t>
  </si>
  <si>
    <t>Sah Polymers Limited IPO</t>
  </si>
  <si>
    <t>Materials</t>
  </si>
  <si>
    <t>Radiant Cash Management Services Limited IPO</t>
  </si>
  <si>
    <t>Industrials</t>
  </si>
  <si>
    <t>Elin Electronics Limited IPO</t>
  </si>
  <si>
    <t>Information Technology</t>
  </si>
  <si>
    <t>KFin Technologies Limited IPO</t>
  </si>
  <si>
    <t>Abans Holdings Limited IPO</t>
  </si>
  <si>
    <t>Financials</t>
  </si>
  <si>
    <t>Landmark Cars Limited IPO</t>
  </si>
  <si>
    <t>Consumer Discretionary</t>
  </si>
  <si>
    <t>Sula Vineyards Limited IPO</t>
  </si>
  <si>
    <t>Consumer Staples</t>
  </si>
  <si>
    <t>Uniparts India Limited IPO</t>
  </si>
  <si>
    <t>Dharmaj Crop Guard Limited IPO</t>
  </si>
  <si>
    <t>Keystone Realtors Limited IPO</t>
  </si>
  <si>
    <t>Real Estate</t>
  </si>
  <si>
    <t>Inox Green Energy Services Limited IPO</t>
  </si>
  <si>
    <t>Utilities</t>
  </si>
  <si>
    <t>Kaynes Technology India Ltd IPO</t>
  </si>
  <si>
    <t>Archean Chemical Industries Limited IPO</t>
  </si>
  <si>
    <t>Five Star Business Finance Ltd IPO</t>
  </si>
  <si>
    <t>Bikaji Foods International Limited IPO</t>
  </si>
  <si>
    <t>Global Health Limited IPO</t>
  </si>
  <si>
    <t>Health Care</t>
  </si>
  <si>
    <t>Fusion Micro Finance Limited IPO</t>
  </si>
  <si>
    <t>DCX Systems Limited IPO</t>
  </si>
  <si>
    <t>Tracxn Technologies Limited IPO</t>
  </si>
  <si>
    <t>Electronics Mart India Limited IPO</t>
  </si>
  <si>
    <t>Harsha Engineers International Ltd IPO</t>
  </si>
  <si>
    <t>Tamilnad Mercantile Bank Limited IPO</t>
  </si>
  <si>
    <t>Dreamfolks Services Limited IPO</t>
  </si>
  <si>
    <t>Syrma SGS Technology Ltd IPO</t>
  </si>
  <si>
    <t>Aether Industries Limited IPO</t>
  </si>
  <si>
    <t>eMudhra Limited IPO</t>
  </si>
  <si>
    <t>Ethos Limited IPO</t>
  </si>
  <si>
    <t>Paradeep Phosphates Limited IPO</t>
  </si>
  <si>
    <t>Venus Pipes &amp; Tubes Limited IPO</t>
  </si>
  <si>
    <t>Delhivery Limited IPO</t>
  </si>
  <si>
    <t>Prudent Corporate Advisory Services Limited IPO</t>
  </si>
  <si>
    <t>Financials </t>
  </si>
  <si>
    <t>Life Insurance Corporation of India (LIC) IPO</t>
  </si>
  <si>
    <t>Rainbow Children's Medicare Limited IPO</t>
  </si>
  <si>
    <t>Campus Activewear Limited IPO</t>
  </si>
  <si>
    <t>Hariom Pipe Industries Limited IPO</t>
  </si>
  <si>
    <t>Veranda Learning Solutions Limited IPO</t>
  </si>
  <si>
    <t>Uma Exports Limited IPO</t>
  </si>
  <si>
    <t>Vedant Fashions Limited IPO</t>
  </si>
  <si>
    <t>Adani Wilmar Limited IPO</t>
  </si>
  <si>
    <t>AGS Transact Technologies Ltd IPO</t>
  </si>
  <si>
    <t>Industrials </t>
  </si>
  <si>
    <t>CMS Info Systems Limited IPO</t>
  </si>
  <si>
    <t>Supriya Lifescience Limited IPO</t>
  </si>
  <si>
    <t>8</t>
  </si>
  <si>
    <t>HP Adhesives Limited IPO</t>
  </si>
  <si>
    <t>10</t>
  </si>
  <si>
    <t>Data Patterns (India) Limited IPO</t>
  </si>
  <si>
    <t>Medplus Health Services Limited IPO</t>
  </si>
  <si>
    <t>796 </t>
  </si>
  <si>
    <t>Metro Brands Limited IPO</t>
  </si>
  <si>
    <t>C.E. Info systems limited IPO</t>
  </si>
  <si>
    <t>Shriram Properties Limited IPO</t>
  </si>
  <si>
    <t>Rategain Travel Technologies Limited IPO</t>
  </si>
  <si>
    <t>Anand Rathi Wealth Limited IPO</t>
  </si>
  <si>
    <t>Tega Industries Limited IPO</t>
  </si>
  <si>
    <t>Star Health and Allied Insurance Company Ltd IPO</t>
  </si>
  <si>
    <t>Go Fashion (India) Limited IPO</t>
  </si>
  <si>
    <t>Tarsons Products Limited IPO</t>
  </si>
  <si>
    <t>9</t>
  </si>
  <si>
    <t>Latent View Analytics Limited IPO</t>
  </si>
  <si>
    <t>11</t>
  </si>
  <si>
    <t>Sapphire Foods India Limited IPO</t>
  </si>
  <si>
    <t>7</t>
  </si>
  <si>
    <t>One 97 Communications Limited IPO</t>
  </si>
  <si>
    <t>S.J.S. Enterprises Limited IPO</t>
  </si>
  <si>
    <t>12</t>
  </si>
  <si>
    <t>PB Fintech Limited IPO</t>
  </si>
  <si>
    <t>Sigachi Industries Limited IPO</t>
  </si>
  <si>
    <t>Fino Payments Bank Limited IPO</t>
  </si>
  <si>
    <t>1,200.29 </t>
  </si>
  <si>
    <t>FSN E-Commerce Ventures Limited IPO</t>
  </si>
  <si>
    <t>Aditya Birla Sun Life AMC Ltd IPO</t>
  </si>
  <si>
    <t>Paras Defence And Space Technologies Limited IPO</t>
  </si>
  <si>
    <t>170.78 </t>
  </si>
  <si>
    <t>Sansera Engineering Limited IPO</t>
  </si>
  <si>
    <t>Vijaya Diagnostic Centre Limited IPO</t>
  </si>
  <si>
    <t>Ami Organics Limited IPO</t>
  </si>
  <si>
    <t>Aptus Value Housing Finance India Ltd IPO</t>
  </si>
  <si>
    <t>Chemplast Sanmar Limited IPO</t>
  </si>
  <si>
    <t>Nuvoco Vistas Corporation Ltd IPO</t>
  </si>
  <si>
    <t>CarTrade Tech Limited IPO</t>
  </si>
  <si>
    <t>Krsnaa Diagnostics Limited IPO</t>
  </si>
  <si>
    <t>Devyani International Limited IPO</t>
  </si>
  <si>
    <t>1,838.00 </t>
  </si>
  <si>
    <t>Exxaro Tiles Limited IPO</t>
  </si>
  <si>
    <t>Windlas Biotech Limited IPO</t>
  </si>
  <si>
    <t>Rolex Rings Limited IPO</t>
  </si>
  <si>
    <t>Glenmark Life Sciences Limited IPO</t>
  </si>
  <si>
    <t>Tatva Chintan Pharma Chem Ltd IPO</t>
  </si>
  <si>
    <t>Zomato Limited IPO</t>
  </si>
  <si>
    <t>Clean Science and Technology Ltd IPO</t>
  </si>
  <si>
    <t>1,546.62 </t>
  </si>
  <si>
    <t>G R Infraprojects Limited IPO</t>
  </si>
  <si>
    <t>India Pesticides Limited IPO</t>
  </si>
  <si>
    <t>Krishna Institute of Medical Sciences Limited IPO</t>
  </si>
  <si>
    <t>Dodla Dairy Limited IPO</t>
  </si>
  <si>
    <t>Sona BLW Precision Forgings Limited IPO</t>
  </si>
  <si>
    <t>Shyam Metalics and Energy Limited IPO</t>
  </si>
  <si>
    <t>Macrotech Developers Limited IPO</t>
  </si>
  <si>
    <t>13</t>
  </si>
  <si>
    <t>Barbeque Nation Hospitality Limited IPO</t>
  </si>
  <si>
    <t>Suryoday Small Finance Bank Ltd IPO</t>
  </si>
  <si>
    <t>Nazara Technologies Limited IPO</t>
  </si>
  <si>
    <t>Communication Services</t>
  </si>
  <si>
    <t>Kalyan Jewellers India Limited IPO</t>
  </si>
  <si>
    <t>87</t>
  </si>
  <si>
    <t>Laxmi Organic Industries Limited IPO</t>
  </si>
  <si>
    <t>Craftsman Automation Limited IPO</t>
  </si>
  <si>
    <t>Anupam Rasayan India Limited IPO</t>
  </si>
  <si>
    <t>Easy Trip Planners Limited IPO</t>
  </si>
  <si>
    <t>MTAR Technologies Limited IPO</t>
  </si>
  <si>
    <t>Heranba Industries Limited IPO</t>
  </si>
  <si>
    <t>RailTel Corporation of India Limited IPO</t>
  </si>
  <si>
    <t>Nureca Limited IPO</t>
  </si>
  <si>
    <t>Stove Kraft Limited IPO</t>
  </si>
  <si>
    <t>Home First Finance Company India Ltd. IPO</t>
  </si>
  <si>
    <t>Indigo Paints Limited IPO</t>
  </si>
  <si>
    <t>Indian Railway Finance Corporation Limited IPO</t>
  </si>
  <si>
    <t>Antony Waste Handling Cell Limited IPO</t>
  </si>
  <si>
    <t>Mrs. Bectors Food Specialities Limited IPO</t>
  </si>
  <si>
    <t>Burger King India Limited IPO</t>
  </si>
  <si>
    <t>810.00 </t>
  </si>
  <si>
    <t>Gland Pharma Limited IPO</t>
  </si>
  <si>
    <t>Equitas Small Finance Bank Ltd IPO</t>
  </si>
  <si>
    <t>Likhitha Infrastructure Ltd IPO</t>
  </si>
  <si>
    <t>Mazagon Dock Shipbuilders Limited IPO</t>
  </si>
  <si>
    <t>UTI Asset Management Company Ltd IPO</t>
  </si>
  <si>
    <t>Angel One Ltd IPO</t>
  </si>
  <si>
    <t>Computer Age Management Services Ltd IPO</t>
  </si>
  <si>
    <t>Chemcon Speciality Chemicals Limited IPO</t>
  </si>
  <si>
    <t>Route Mobile Ltd IPO</t>
  </si>
  <si>
    <t>Happiest Minds Technologies Ltd IPO</t>
  </si>
  <si>
    <t>Rossari Biotech Ltd IPO</t>
  </si>
  <si>
    <t>SBI Cards and Payment Services Ltd IPO</t>
  </si>
  <si>
    <t>Prince Pipes and Fittings Ltd IPO</t>
  </si>
  <si>
    <t>Ujjivan Small Finance Bank Ltd IPO</t>
  </si>
  <si>
    <t>750.00 </t>
  </si>
  <si>
    <t>CSB Bank Limited IPO</t>
  </si>
  <si>
    <t>IRCTC Limited IPO</t>
  </si>
  <si>
    <t>Vishwaraj Sugar Industries Ltd IPO</t>
  </si>
  <si>
    <t>60.00 </t>
  </si>
  <si>
    <t>Sterling and Wilson Solar Ltd IPO</t>
  </si>
  <si>
    <t>3145.16 </t>
  </si>
  <si>
    <t>Spandana Sphoorty Financial Ltd IPO</t>
  </si>
  <si>
    <t>Affle (India) Limited IPO</t>
  </si>
  <si>
    <t>IndiaMART InterMESH Limited IPO</t>
  </si>
  <si>
    <t>Neogen Chemicals Limited IPO</t>
  </si>
  <si>
    <t>Polycab India Limited IPO</t>
  </si>
  <si>
    <t>1346.00 </t>
  </si>
  <si>
    <t>Metropolis Healthcare Limited IPO</t>
  </si>
  <si>
    <t>Rail Vikas Nigam Limited IPO</t>
  </si>
  <si>
    <t>MSTC Limited IPO</t>
  </si>
  <si>
    <t>Chalet Hotels Limited IPO</t>
  </si>
  <si>
    <t>Xelpmoc Design and Tech Limited IPO</t>
  </si>
  <si>
    <t>23.00 </t>
  </si>
  <si>
    <t>Aavas Financiers Limited IPO</t>
  </si>
  <si>
    <t>1,734.07 </t>
  </si>
  <si>
    <t>Garden Reach Shipbuilders &amp; Engineers Limited IPO</t>
  </si>
  <si>
    <t>4</t>
  </si>
  <si>
    <t>IRCON International Limited IPO</t>
  </si>
  <si>
    <t>CreditAccess Grameen Limited IPO</t>
  </si>
  <si>
    <t>98,88%</t>
  </si>
  <si>
    <t>HDFC Asset Management Company Limited IPO</t>
  </si>
  <si>
    <t>TCNS Clothing Co. Limited IPO</t>
  </si>
  <si>
    <t>Varroc Engineering Limited IPO</t>
  </si>
  <si>
    <t>Fine Organic Industries Limited IPO</t>
  </si>
  <si>
    <t>RITES Limited IPO</t>
  </si>
  <si>
    <t>IndoStar Capital Finance Limited IPO</t>
  </si>
  <si>
    <t>Lemon Tree Hotels Limited IPO</t>
  </si>
  <si>
    <t>ICICI Securities Ltd IPO</t>
  </si>
  <si>
    <t>Mishra Dhatu Nigam Limited IPO</t>
  </si>
  <si>
    <t>Sandhar Technologies Limited IPO</t>
  </si>
  <si>
    <t>Karda Construction Ltd IPO</t>
  </si>
  <si>
    <t>Hindustan Aeronautics Limited IPO</t>
  </si>
  <si>
    <t>Bandhan Bank Limited IPO</t>
  </si>
  <si>
    <t>Bharat Dynamics Ltd IPO</t>
  </si>
  <si>
    <t>960.94 </t>
  </si>
  <si>
    <t>H.G. Infra Engineering Ltd IPO</t>
  </si>
  <si>
    <t>462.00 </t>
  </si>
  <si>
    <t>Aster DM Healthcare Ltd IPO</t>
  </si>
  <si>
    <t>Galaxy Surfactants Limited IPO</t>
  </si>
  <si>
    <t>Amber Enterprises India Limited IPO</t>
  </si>
  <si>
    <t>Newgen Software Technologies Limited IPO</t>
  </si>
  <si>
    <t>Apollo Micro Systems Limited IPO</t>
  </si>
  <si>
    <t>156.00 </t>
  </si>
  <si>
    <t>Astron Paper &amp; Board Mill Ltd IPO</t>
  </si>
  <si>
    <t>0.77/1.97</t>
  </si>
  <si>
    <t>Future Supply Chain Solutions Ltd IPO</t>
  </si>
  <si>
    <t>Shalby Limited IPO</t>
  </si>
  <si>
    <t>HDFC Standard Life Insurance Company Ltd IPO</t>
  </si>
  <si>
    <t>Khadim India Limited IPO</t>
  </si>
  <si>
    <t>The New India Assurance Company Limited IPO</t>
  </si>
  <si>
    <t>Mahindra Logistics Limited IPO</t>
  </si>
  <si>
    <t>Reliance Nippon Life Asset Management Ltd IPO</t>
  </si>
  <si>
    <t>General Insurance Corporation of India IPO</t>
  </si>
  <si>
    <t>11175.84 </t>
  </si>
  <si>
    <t>Indian Energy Exchange Ltd IPO</t>
  </si>
  <si>
    <t>1000.73 </t>
  </si>
  <si>
    <t>MAS Financial Services Ltd IPO</t>
  </si>
  <si>
    <t>460.04 </t>
  </si>
  <si>
    <t>Godrej Agrovet Limited IPO</t>
  </si>
  <si>
    <t>Prataap Snacks Limited IPO</t>
  </si>
  <si>
    <t>SBI Life Insurance Company Ltd IPO</t>
  </si>
  <si>
    <t>ICICI Lombard General Insurance Company Ltd IPO</t>
  </si>
  <si>
    <t>Capacit'e Infraprojects Limited IPO</t>
  </si>
  <si>
    <t>Matrimony.com Limited IPO</t>
  </si>
  <si>
    <t>496.88 </t>
  </si>
  <si>
    <t>Dixon Technologies (India) Limited IPO</t>
  </si>
  <si>
    <t>600.00 </t>
  </si>
  <si>
    <t>Bharat Road Network Limited IPO</t>
  </si>
  <si>
    <t>Apex Frozen Foods Ltd IPO</t>
  </si>
  <si>
    <t>152.25 </t>
  </si>
  <si>
    <t>Cochin Shipyard Ltd IPO</t>
  </si>
  <si>
    <t>Security and Intelligence Services (India) Ltd IPO</t>
  </si>
  <si>
    <t>Salasar Techno Engineering Ltd IPO</t>
  </si>
  <si>
    <t>35.87 </t>
  </si>
  <si>
    <t>Au Financiers (India) Limited IPO</t>
  </si>
  <si>
    <t>GTPL Hathway Limited IPO</t>
  </si>
  <si>
    <t>484.80 </t>
  </si>
  <si>
    <t>Central Depository Services (India) Limited IPO</t>
  </si>
  <si>
    <t>Eris Lifesciences Limited IPO</t>
  </si>
  <si>
    <t>1,741.16 </t>
  </si>
  <si>
    <t>Tejas Networks Limited IPO</t>
  </si>
  <si>
    <t>PSP Projects Ltd IPO</t>
  </si>
  <si>
    <t>211.68 </t>
  </si>
  <si>
    <t>Housing and Urban Development Corporation Ltd IPO</t>
  </si>
  <si>
    <t>S Chand and Company Ltd IPO</t>
  </si>
  <si>
    <t>Shankara Building Products Ltd IPO</t>
  </si>
  <si>
    <t>CL Educate Ltd IPO</t>
  </si>
  <si>
    <t>Music Broadcast Ltd IPO</t>
  </si>
  <si>
    <t>Avenue Supermarts Limited IPO</t>
  </si>
  <si>
    <t>BSE Limited IPO</t>
  </si>
  <si>
    <t>Laurus Labs Ltd IPO</t>
  </si>
  <si>
    <t>Sheela Foam Ltd IPO</t>
  </si>
  <si>
    <t>PNB Housing Finance Ltd IPO</t>
  </si>
  <si>
    <t>Varun Beverages Ltd IPO</t>
  </si>
  <si>
    <t>Endurance Technologies Ltd IPO</t>
  </si>
  <si>
    <t>HPL Electric &amp; Power Ltd IPO</t>
  </si>
  <si>
    <t>ICICI Prudential Life Insurance Company Ltd IPO</t>
  </si>
  <si>
    <t>G N A Axles Ltd IPO</t>
  </si>
  <si>
    <t>L&amp;T Technology Services Ltd IPO</t>
  </si>
  <si>
    <t>RBL Bank Ltd IPO</t>
  </si>
  <si>
    <t>S P Apparels Ltd IPO</t>
  </si>
  <si>
    <t>Dilip Buildcon Ltd IPO</t>
  </si>
  <si>
    <t>Advanced Enzyme Technologies Ltd IPO</t>
  </si>
  <si>
    <t>L&amp;T Infotech Ltd IPO</t>
  </si>
  <si>
    <t>Quess Corp Ltd IPO</t>
  </si>
  <si>
    <t>Mahanagar Gas Limited IPO</t>
  </si>
  <si>
    <t>Energy</t>
  </si>
  <si>
    <t>1,039.64 </t>
  </si>
  <si>
    <t>Parag Milk Foods Ltd IPO</t>
  </si>
  <si>
    <t>Ujjivan Financial Services Ltd IPO</t>
  </si>
  <si>
    <t xml:space="preserve">17.0925	</t>
  </si>
  <si>
    <t>Thyrocare Technologies Ltd IPO</t>
  </si>
  <si>
    <t>Equitas Holdings Limited IPO</t>
  </si>
  <si>
    <t>Infibeam Incorporation Ltd IPO</t>
  </si>
  <si>
    <t>Bharat Wire Ropes Ltd IPO</t>
  </si>
  <si>
    <t>Healthcare Global Enterprises Ltd IPO</t>
  </si>
  <si>
    <t>649.64 </t>
  </si>
  <si>
    <t>Quick Heal Technologies Ltd IPO</t>
  </si>
  <si>
    <t>TeamLease Services Ltd IPO</t>
  </si>
  <si>
    <t>Precision Camshafts Ltd IPO</t>
  </si>
  <si>
    <t>Narayana Hrudayalaya Ltd IPO</t>
  </si>
  <si>
    <t>Alkem Laboratories Limited IPO</t>
  </si>
  <si>
    <t>Dr. Lal PathLabs Limited IPO</t>
  </si>
  <si>
    <t>S H Kelkar &amp; Company Ltd IPO</t>
  </si>
  <si>
    <t>InterGlobe Aviation Ltd IPO</t>
  </si>
  <si>
    <t>Coffee Day Enterprises Ltd IPO</t>
  </si>
  <si>
    <t>Sadbhav Infrastructure Project Limited IPO</t>
  </si>
  <si>
    <t>Prabhat Dairy Limited IPO</t>
  </si>
  <si>
    <t>Shree Pushkar Chemicals and Fertilisers Ltd IPO</t>
  </si>
  <si>
    <t>70.00 </t>
  </si>
  <si>
    <t>Pennar Engineered Building Systems Ltd IPO</t>
  </si>
  <si>
    <t>156.19 </t>
  </si>
  <si>
    <t>Navkar Corporation Limited IPO</t>
  </si>
  <si>
    <t>Power Mech Projects Ltd IPO</t>
  </si>
  <si>
    <t>273.22 </t>
  </si>
  <si>
    <t>Syngene International Ltd IPO</t>
  </si>
  <si>
    <t>Manpasand Beverages Ltd IPO</t>
  </si>
  <si>
    <t>PNC Infratech Limited IPO</t>
  </si>
  <si>
    <t>UFO Moviez Ltd IPO</t>
  </si>
  <si>
    <t>MEP Infrastructure Developers Ltd IPO</t>
  </si>
  <si>
    <t>VRL Logistics Ltd IPO</t>
  </si>
  <si>
    <t>473.88 </t>
  </si>
  <si>
    <t>Inox Wind Limited IPO</t>
  </si>
  <si>
    <t>Adlabs Entertainment Ltd IPO</t>
  </si>
  <si>
    <t>Ortel Communications Ltd IPO</t>
  </si>
  <si>
    <t>66.11 </t>
  </si>
  <si>
    <t>Monte Carlo Fashions Limited IPO</t>
  </si>
  <si>
    <t>Shemaroo Entertainment Ltd IPO</t>
  </si>
  <si>
    <t>Sharda Cropchem Ltd IPO</t>
  </si>
  <si>
    <t>Snowman Logistics Ltd IPO</t>
  </si>
  <si>
    <t>Wonderla Holidays Ltd IPO</t>
  </si>
  <si>
    <t>Just Dial Ltd IPO</t>
  </si>
  <si>
    <t>Repco Home Finance Ltd IPO</t>
  </si>
  <si>
    <t>V-Mart Retail Ltd IPO</t>
  </si>
  <si>
    <t>Bharti Infratel Limited IPO</t>
  </si>
  <si>
    <t>PC Jeweller Ltd IPO</t>
  </si>
  <si>
    <t>Credit Analysis &amp; Research Ltd IPO</t>
  </si>
  <si>
    <t>539.98 </t>
  </si>
  <si>
    <t>Tara Jewels Limited IPO</t>
  </si>
  <si>
    <t>VKS Projects Ltd IPO</t>
  </si>
  <si>
    <t>Speciality Restaurants Ltd IPO</t>
  </si>
  <si>
    <t>Tribhovandas Bhimji Zaveri Ltd IPO</t>
  </si>
  <si>
    <t>MT Educare Limited IPO</t>
  </si>
  <si>
    <t>National Buildings Construction Corporation Ltd IPO</t>
  </si>
  <si>
    <t>Olympic Cards Ltd IPO</t>
  </si>
  <si>
    <t>Multi Commodity Exchange of India Ltd IPO</t>
  </si>
  <si>
    <t>Indo Thai Securities Limited IPO</t>
  </si>
  <si>
    <t>Flexituff International Ltd IPO</t>
  </si>
  <si>
    <t>Taksheel Solutions Ltd IPO</t>
  </si>
  <si>
    <t>Onelife Capital Advisors Ltd IPO</t>
  </si>
  <si>
    <t>M and B Switchgears Ltd IPO</t>
  </si>
  <si>
    <t>Tijaria Polypipes Ltd IPO</t>
  </si>
  <si>
    <t>RDB Rasayans Ltd IPO</t>
  </si>
  <si>
    <t>Prakash Constrowell Ltd IPO</t>
  </si>
  <si>
    <t>PG Electroplast Limited IPO</t>
  </si>
  <si>
    <t>TD Power Systems Ltd IPO</t>
  </si>
  <si>
    <t>227.00 </t>
  </si>
  <si>
    <t>SRS Limited IPO</t>
  </si>
  <si>
    <t>Brooks Laboratories Ltd IPO</t>
  </si>
  <si>
    <t>63.00 </t>
  </si>
  <si>
    <t>Tree House Education &amp; Accessories Ltd IPO</t>
  </si>
  <si>
    <t>113.83 </t>
  </si>
  <si>
    <t>L&amp;T Finance Holdings Limited IPO</t>
  </si>
  <si>
    <t>Inventure Growth &amp; Securities Ltd IPO</t>
  </si>
  <si>
    <t>81.90 </t>
  </si>
  <si>
    <t>Bharatiya Global Infomedia Ltd IPO</t>
  </si>
  <si>
    <t>Readymade Steel India Ltd IPO</t>
  </si>
  <si>
    <t>Rushil Decor Ltd IPO</t>
  </si>
  <si>
    <t>Birla Pacific Medspa Ltd IPO</t>
  </si>
  <si>
    <t>VMS Industries Ltd IPO</t>
  </si>
  <si>
    <t>Timbor Home Limited IPO</t>
  </si>
  <si>
    <t>Aanjaneya Lifecare Ltd IPO</t>
  </si>
  <si>
    <t>Sanghvi Forging &amp; Engineering Ltd IPO</t>
  </si>
  <si>
    <t>36.90 </t>
  </si>
  <si>
    <t>Servalakshmi Paper Ltd IPO</t>
  </si>
  <si>
    <t>Innoventive Industries Ltd IPO</t>
  </si>
  <si>
    <t>Future Ventures India Ltd IPO</t>
  </si>
  <si>
    <t>Paramount Printpackaging Ltd IPO</t>
  </si>
  <si>
    <t>Muthoot Finance Ltd IPO</t>
  </si>
  <si>
    <t>Shilpi Cable Technologies Ltd IPO</t>
  </si>
  <si>
    <t>PTC India Financial Services Ltd IPO</t>
  </si>
  <si>
    <t>Lovable Lingeries Ltd IPO</t>
  </si>
  <si>
    <t>Acropetal Technologies Ltd IPO</t>
  </si>
  <si>
    <t>Fineotex Chemical Ltd IPO</t>
  </si>
  <si>
    <t>Sudar Garments Ltd IPO</t>
  </si>
  <si>
    <t>Omkar Speciality Chemicals Ltd IPO</t>
  </si>
  <si>
    <t>Midvalley Entertainment Ltd IPO</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</si>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</sst>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Times New Roman"/>
      <family val="1"/>
    </font>
    <font>
      <b/>
      <sz val="11"/>
      <name val="Times New Roman"/>
      <family val="1"/>
    </font>
    <font>
      <b/>
      <sz val="11"/>
      <name val="Calibri"/>
      <family val="2"/>
      <scheme val="minor"/>
    </font>
    <font>
      <sz val="11"/>
      <color theme="1"/>
      <name val="Times New Roman"/>
      <family val="1"/>
    </font>
    <font>
      <u/>
      <sz val="11"/>
      <color theme="10"/>
      <name val="Times New Roman"/>
      <family val="1"/>
    </font>
    <font>
      <sz val="12"/>
      <color theme="1"/>
      <name val="Times New Roman"/>
      <family val="1"/>
    </font>
    <font>
      <sz val="11"/>
      <color rgb="FF212529"/>
      <name val="Times New Roman"/>
      <family val="1"/>
    </font>
    <font>
      <sz val="11"/>
      <name val="Calibri"/>
      <family val="2"/>
      <scheme val="minor"/>
    </font>
    <font>
      <sz val="11"/>
      <color rgb="FF000000"/>
      <name val="Times New Roman"/>
      <family val="1"/>
    </font>
    <font>
      <sz val="11"/>
      <color rgb="FF232526"/>
      <name val="Times New Roman"/>
      <family val="1"/>
    </font>
    <font>
      <sz val="10"/>
      <name val="Arial"/>
      <family val="2"/>
    </font>
    <font>
      <sz val="11"/>
      <color theme="8" tint="-0.249977111117893"/>
      <name val="Times New Roman"/>
      <family val="1"/>
    </font>
    <font>
      <sz val="11"/>
      <color theme="8" tint="-0.249977111117893"/>
      <name val="Calibri"/>
      <family val="2"/>
      <scheme val="minor"/>
    </font>
    <font>
      <sz val="12"/>
      <color rgb="FF121512"/>
      <name val="Times New Roman"/>
      <family val="1"/>
    </font>
    <font>
      <sz val="11"/>
      <name val="Times New Roman"/>
      <family val="1"/>
    </font>
    <font>
      <sz val="11"/>
      <color theme="4" tint="-0.249977111117893"/>
      <name val="Calibri"/>
      <family val="2"/>
      <scheme val="minor"/>
    </font>
    <font>
      <u/>
      <sz val="11"/>
      <name val="Times New Roman"/>
      <family val="1"/>
    </font>
  </fonts>
  <fills count="11">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FE6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2" fontId="1"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7" borderId="1" xfId="0" applyFont="1" applyFill="1" applyBorder="1" applyAlignment="1">
      <alignment horizontal="center" vertical="center"/>
    </xf>
    <xf numFmtId="0" fontId="7" fillId="7" borderId="1" xfId="1" applyFont="1" applyFill="1" applyBorder="1" applyAlignment="1">
      <alignment horizontal="center" vertical="center"/>
    </xf>
    <xf numFmtId="0" fontId="8" fillId="0" borderId="1" xfId="0" applyFont="1" applyBorder="1" applyAlignment="1">
      <alignment horizontal="center" vertical="center"/>
    </xf>
    <xf numFmtId="2" fontId="6" fillId="7" borderId="1" xfId="0" applyNumberFormat="1" applyFont="1" applyFill="1" applyBorder="1" applyAlignment="1">
      <alignment horizontal="center" vertical="center"/>
    </xf>
    <xf numFmtId="0" fontId="0" fillId="7" borderId="1" xfId="0" applyFill="1" applyBorder="1" applyAlignment="1">
      <alignment horizontal="center" vertical="center"/>
    </xf>
    <xf numFmtId="1" fontId="6" fillId="7" borderId="1" xfId="0" applyNumberFormat="1" applyFont="1" applyFill="1" applyBorder="1" applyAlignment="1">
      <alignment horizontal="center" vertical="center"/>
    </xf>
    <xf numFmtId="10" fontId="0" fillId="7" borderId="1" xfId="0" applyNumberFormat="1" applyFill="1" applyBorder="1" applyAlignment="1">
      <alignment horizontal="center" vertical="center"/>
    </xf>
    <xf numFmtId="0" fontId="9" fillId="7" borderId="1" xfId="0" applyFont="1" applyFill="1" applyBorder="1" applyAlignment="1">
      <alignment horizontal="center" vertical="center"/>
    </xf>
    <xf numFmtId="2" fontId="0" fillId="7" borderId="1" xfId="0" applyNumberFormat="1" applyFill="1" applyBorder="1" applyAlignment="1">
      <alignment horizontal="center" vertical="center"/>
    </xf>
    <xf numFmtId="0" fontId="10" fillId="7" borderId="1" xfId="0" applyFont="1" applyFill="1" applyBorder="1" applyAlignment="1">
      <alignment horizontal="center" vertical="center"/>
    </xf>
    <xf numFmtId="0" fontId="8" fillId="7" borderId="1" xfId="0" applyFont="1" applyFill="1" applyBorder="1" applyAlignment="1">
      <alignment horizontal="center" vertical="center"/>
    </xf>
    <xf numFmtId="164" fontId="8" fillId="7"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12" fillId="8" borderId="1" xfId="0" applyFont="1" applyFill="1" applyBorder="1" applyAlignment="1">
      <alignment horizontal="center" vertical="center" readingOrder="1"/>
    </xf>
    <xf numFmtId="164" fontId="0" fillId="7" borderId="3" xfId="0" applyNumberFormat="1" applyFill="1" applyBorder="1" applyAlignment="1">
      <alignment horizontal="center" vertical="center"/>
    </xf>
    <xf numFmtId="0" fontId="13" fillId="9" borderId="1" xfId="0" applyFont="1" applyFill="1" applyBorder="1" applyAlignment="1">
      <alignment horizontal="center" vertical="center" wrapText="1"/>
    </xf>
    <xf numFmtId="0" fontId="0" fillId="0" borderId="1" xfId="0" applyBorder="1" applyAlignment="1">
      <alignment horizontal="center" vertical="center"/>
    </xf>
    <xf numFmtId="0" fontId="13" fillId="0" borderId="1" xfId="0" applyFont="1" applyBorder="1" applyAlignment="1">
      <alignment horizontal="center" vertical="center" wrapText="1"/>
    </xf>
    <xf numFmtId="9" fontId="0" fillId="7" borderId="1" xfId="0" applyNumberFormat="1" applyFill="1" applyBorder="1" applyAlignment="1">
      <alignment horizontal="center" vertical="center"/>
    </xf>
    <xf numFmtId="0" fontId="14" fillId="7" borderId="1" xfId="0" applyFont="1" applyFill="1" applyBorder="1" applyAlignment="1">
      <alignment horizontal="center" vertical="center"/>
    </xf>
    <xf numFmtId="0" fontId="15" fillId="7" borderId="1" xfId="0" applyFont="1" applyFill="1" applyBorder="1" applyAlignment="1">
      <alignment horizontal="center" vertical="center"/>
    </xf>
    <xf numFmtId="10" fontId="0" fillId="0" borderId="1" xfId="0" applyNumberFormat="1" applyBorder="1" applyAlignment="1">
      <alignment horizontal="center" vertical="center"/>
    </xf>
    <xf numFmtId="4" fontId="14" fillId="7" borderId="1" xfId="0" applyNumberFormat="1" applyFont="1" applyFill="1" applyBorder="1" applyAlignment="1">
      <alignment horizontal="center" vertical="center"/>
    </xf>
    <xf numFmtId="10" fontId="10" fillId="7" borderId="1" xfId="0" applyNumberFormat="1" applyFont="1" applyFill="1" applyBorder="1" applyAlignment="1">
      <alignment horizontal="center" vertical="center"/>
    </xf>
    <xf numFmtId="0" fontId="16" fillId="0" borderId="1" xfId="0" applyFont="1" applyBorder="1" applyAlignment="1">
      <alignment horizontal="center" vertical="center"/>
    </xf>
    <xf numFmtId="2" fontId="13" fillId="0" borderId="1" xfId="0" applyNumberFormat="1" applyFont="1" applyBorder="1" applyAlignment="1">
      <alignment horizontal="center" vertical="center"/>
    </xf>
    <xf numFmtId="0" fontId="6" fillId="7" borderId="4" xfId="0" applyFont="1" applyFill="1" applyBorder="1" applyAlignment="1">
      <alignment horizontal="center" vertical="center"/>
    </xf>
    <xf numFmtId="0" fontId="17" fillId="7" borderId="1" xfId="0" applyFont="1" applyFill="1" applyBorder="1" applyAlignment="1">
      <alignment horizontal="center" vertical="center"/>
    </xf>
    <xf numFmtId="49" fontId="6" fillId="7" borderId="1" xfId="0" applyNumberFormat="1" applyFont="1" applyFill="1" applyBorder="1" applyAlignment="1">
      <alignment horizontal="center" vertical="center"/>
    </xf>
    <xf numFmtId="2" fontId="9" fillId="7" borderId="1" xfId="0" applyNumberFormat="1" applyFont="1" applyFill="1" applyBorder="1" applyAlignment="1">
      <alignment horizontal="center" vertical="center"/>
    </xf>
    <xf numFmtId="2" fontId="14" fillId="7" borderId="1" xfId="0" applyNumberFormat="1" applyFont="1" applyFill="1" applyBorder="1" applyAlignment="1">
      <alignment horizontal="center" vertical="center"/>
    </xf>
    <xf numFmtId="10" fontId="18" fillId="7" borderId="1" xfId="0" applyNumberFormat="1" applyFont="1" applyFill="1" applyBorder="1" applyAlignment="1">
      <alignment horizontal="center" vertical="center"/>
    </xf>
    <xf numFmtId="4" fontId="6" fillId="7" borderId="1" xfId="0" applyNumberFormat="1" applyFont="1" applyFill="1" applyBorder="1" applyAlignment="1">
      <alignment horizontal="center" vertical="center"/>
    </xf>
    <xf numFmtId="0" fontId="10" fillId="0" borderId="1" xfId="0" applyFont="1" applyBorder="1" applyAlignment="1">
      <alignment horizontal="center" vertical="center"/>
    </xf>
    <xf numFmtId="0" fontId="10" fillId="9" borderId="1" xfId="0" applyFont="1" applyFill="1" applyBorder="1" applyAlignment="1">
      <alignment horizontal="center" vertical="center"/>
    </xf>
    <xf numFmtId="10" fontId="18" fillId="0" borderId="1" xfId="0" applyNumberFormat="1" applyFont="1" applyBorder="1" applyAlignment="1">
      <alignment horizontal="center" vertical="center"/>
    </xf>
    <xf numFmtId="9" fontId="18" fillId="7" borderId="1" xfId="0" applyNumberFormat="1" applyFont="1" applyFill="1" applyBorder="1" applyAlignment="1">
      <alignment horizontal="center" vertical="center"/>
    </xf>
    <xf numFmtId="164" fontId="19" fillId="7" borderId="1" xfId="1" applyNumberFormat="1" applyFont="1" applyFill="1" applyBorder="1" applyAlignment="1">
      <alignment horizontal="center" vertical="center"/>
    </xf>
    <xf numFmtId="2" fontId="15" fillId="7" borderId="1" xfId="0" applyNumberFormat="1" applyFont="1" applyFill="1" applyBorder="1" applyAlignment="1">
      <alignment horizontal="center" vertical="center"/>
    </xf>
    <xf numFmtId="2" fontId="13" fillId="0" borderId="1" xfId="0" applyNumberFormat="1" applyFont="1" applyBorder="1" applyAlignment="1">
      <alignment horizontal="center" vertical="center" wrapText="1"/>
    </xf>
    <xf numFmtId="0" fontId="13" fillId="7"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17" fillId="7" borderId="0" xfId="0" applyFont="1" applyFill="1" applyAlignment="1">
      <alignment horizontal="center" vertical="center"/>
    </xf>
    <xf numFmtId="0" fontId="6" fillId="7" borderId="1" xfId="0" applyNumberFormat="1" applyFont="1" applyFill="1" applyBorder="1" applyAlignment="1">
      <alignment horizontal="center" vertical="center"/>
    </xf>
    <xf numFmtId="2" fontId="13" fillId="7" borderId="1" xfId="0" applyNumberFormat="1" applyFont="1" applyFill="1" applyBorder="1" applyAlignment="1">
      <alignment horizontal="center" vertical="center" wrapText="1"/>
    </xf>
    <xf numFmtId="2" fontId="17" fillId="7" borderId="1" xfId="1" applyNumberFormat="1" applyFont="1" applyFill="1" applyBorder="1" applyAlignment="1">
      <alignment horizontal="center" vertical="center"/>
    </xf>
  </cellXfs>
  <cellStyles count="2">
    <cellStyle name="Hyperlink" xfId="1" builtinId="8"/>
    <cellStyle name="Normal" xfId="0" builtinId="0"/>
  </cellStyles>
  <dxfs count="24">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hittorgarh.com/ipo/pnb-housing-finance-ipo/599/" TargetMode="External"/><Relationship Id="rId21" Type="http://schemas.openxmlformats.org/officeDocument/2006/relationships/hyperlink" Target="https://www.chittorgarh.com/ipo/home-first-finance-ipo/1080/" TargetMode="External"/><Relationship Id="rId63" Type="http://schemas.openxmlformats.org/officeDocument/2006/relationships/hyperlink" Target="https://www.chittorgarh.com/ipo/rites-limited-ipo/886/" TargetMode="External"/><Relationship Id="rId159" Type="http://schemas.openxmlformats.org/officeDocument/2006/relationships/hyperlink" Target="https://www.chittorgarh.com/ipo/inox_wind_ipo/438/" TargetMode="External"/><Relationship Id="rId170" Type="http://schemas.openxmlformats.org/officeDocument/2006/relationships/hyperlink" Target="https://www.chittorgarh.com/ipo/bharti_infratel_ipo/360/" TargetMode="External"/><Relationship Id="rId226" Type="http://schemas.openxmlformats.org/officeDocument/2006/relationships/hyperlink" Target="https://www.chittorgarh.com/ipo/cartrade-tech-ipo/1137/" TargetMode="External"/><Relationship Id="rId268" Type="http://schemas.openxmlformats.org/officeDocument/2006/relationships/hyperlink" Target="https://www.chittorgarh.com/ipo/kaynes-technology-ipo/1321/" TargetMode="External"/><Relationship Id="rId32" Type="http://schemas.openxmlformats.org/officeDocument/2006/relationships/hyperlink" Target="https://www.chittorgarh.com/ipo/angel-broking-ipo/1057/" TargetMode="External"/><Relationship Id="rId74" Type="http://schemas.openxmlformats.org/officeDocument/2006/relationships/hyperlink" Target="https://www.chittorgarh.com/ipo/aster-dm-healthcare-ipo/810/" TargetMode="External"/><Relationship Id="rId128" Type="http://schemas.openxmlformats.org/officeDocument/2006/relationships/hyperlink" Target="https://www.chittorgarh.com/ipo/l_t_infotech_ipo/555/" TargetMode="External"/><Relationship Id="rId5" Type="http://schemas.openxmlformats.org/officeDocument/2006/relationships/hyperlink" Target="https://www.chittorgarh.com/ipo/sona-comstar-ipo/1112/" TargetMode="External"/><Relationship Id="rId181" Type="http://schemas.openxmlformats.org/officeDocument/2006/relationships/hyperlink" Target="https://www.chittorgarh.com/ipo/indo_thai_securities_ipo/333/" TargetMode="External"/><Relationship Id="rId237" Type="http://schemas.openxmlformats.org/officeDocument/2006/relationships/hyperlink" Target="https://www.chittorgarh.com/ipo/sigachi-industries-ipo/1175/" TargetMode="External"/><Relationship Id="rId279" Type="http://schemas.openxmlformats.org/officeDocument/2006/relationships/hyperlink" Target="https://www.chittorgarh.com/ipo/dreamfolks-services-ipo/1281/" TargetMode="External"/><Relationship Id="rId43" Type="http://schemas.openxmlformats.org/officeDocument/2006/relationships/hyperlink" Target="https://www.chittorgarh.com/ipo/vishwaraj-ipo/1016/" TargetMode="External"/><Relationship Id="rId139" Type="http://schemas.openxmlformats.org/officeDocument/2006/relationships/hyperlink" Target="https://www.chittorgarh.com/ipo/teamlease_services_ipo/520/" TargetMode="External"/><Relationship Id="rId290" Type="http://schemas.openxmlformats.org/officeDocument/2006/relationships/hyperlink" Target="https://www.chittorgarh.com/ipo/campus-activewear-ipo/1249/" TargetMode="External"/><Relationship Id="rId85" Type="http://schemas.openxmlformats.org/officeDocument/2006/relationships/hyperlink" Target="https://www.chittorgarh.com/ipo/mahindra-logistics-ipo/753/" TargetMode="External"/><Relationship Id="rId150" Type="http://schemas.openxmlformats.org/officeDocument/2006/relationships/hyperlink" Target="https://www.chittorgarh.com/ipo/pennar_engineered_ipo/490/" TargetMode="External"/><Relationship Id="rId192" Type="http://schemas.openxmlformats.org/officeDocument/2006/relationships/hyperlink" Target="https://www.chittorgarh.com/ipo/brooks_labs_ipo/322/" TargetMode="External"/><Relationship Id="rId206" Type="http://schemas.openxmlformats.org/officeDocument/2006/relationships/hyperlink" Target="https://www.chittorgarh.com/ipo/future_ventures_ipo/304/" TargetMode="External"/><Relationship Id="rId248" Type="http://schemas.openxmlformats.org/officeDocument/2006/relationships/hyperlink" Target="https://www.chittorgarh.com/ipo/rategain-ipo/1189/" TargetMode="External"/><Relationship Id="rId12" Type="http://schemas.openxmlformats.org/officeDocument/2006/relationships/hyperlink" Target="https://www.chittorgarh.com/ipo/laxmi-organic-ipo/1096/" TargetMode="External"/><Relationship Id="rId33" Type="http://schemas.openxmlformats.org/officeDocument/2006/relationships/hyperlink" Target="https://www.chittorgarh.com/ipo/cams-ipo/1055/" TargetMode="External"/><Relationship Id="rId108" Type="http://schemas.openxmlformats.org/officeDocument/2006/relationships/hyperlink" Target="https://www.chittorgarh.com/ipo/hudco-ipo/645/" TargetMode="External"/><Relationship Id="rId129" Type="http://schemas.openxmlformats.org/officeDocument/2006/relationships/hyperlink" Target="https://www.chittorgarh.com/ipo/quess_corp_ipo/552/" TargetMode="External"/><Relationship Id="rId280" Type="http://schemas.openxmlformats.org/officeDocument/2006/relationships/hyperlink" Target="https://www.chittorgarh.com/ipo/syrma-ipo/1276/" TargetMode="External"/><Relationship Id="rId54" Type="http://schemas.openxmlformats.org/officeDocument/2006/relationships/hyperlink" Target="https://www.chittorgarh.com/ipo/xelpmoc-design-tech-ipo/936/" TargetMode="External"/><Relationship Id="rId75" Type="http://schemas.openxmlformats.org/officeDocument/2006/relationships/hyperlink" Target="https://www.chittorgarh.com/ipo/galaxy-surfactants-ipo/798/" TargetMode="External"/><Relationship Id="rId96" Type="http://schemas.openxmlformats.org/officeDocument/2006/relationships/hyperlink" Target="https://www.chittorgarh.com/ipo/dixon-ipo/705/" TargetMode="External"/><Relationship Id="rId140" Type="http://schemas.openxmlformats.org/officeDocument/2006/relationships/hyperlink" Target="https://www.chittorgarh.com/ipo/precision_camshafts_ipo/517/" TargetMode="External"/><Relationship Id="rId161" Type="http://schemas.openxmlformats.org/officeDocument/2006/relationships/hyperlink" Target="https://www.chittorgarh.com/ipo/ortel_communications_ipo/455/" TargetMode="External"/><Relationship Id="rId182" Type="http://schemas.openxmlformats.org/officeDocument/2006/relationships/hyperlink" Target="https://www.chittorgarh.com/ipo/flexituff_ipo/329/" TargetMode="External"/><Relationship Id="rId217" Type="http://schemas.openxmlformats.org/officeDocument/2006/relationships/hyperlink" Target="https://www.chittorgarh.com/ipo/clean-science-and-technology-ipo/1123/" TargetMode="External"/><Relationship Id="rId6" Type="http://schemas.openxmlformats.org/officeDocument/2006/relationships/hyperlink" Target="https://www.chittorgarh.com/ipo/shyam-metalics-ipo/1109/" TargetMode="External"/><Relationship Id="rId238" Type="http://schemas.openxmlformats.org/officeDocument/2006/relationships/hyperlink" Target="https://www.chittorgarh.com/ipo/policybazaar-ipo/1172/" TargetMode="External"/><Relationship Id="rId259" Type="http://schemas.openxmlformats.org/officeDocument/2006/relationships/hyperlink" Target="https://www.chittorgarh.com/ipo/elin-electronics-ipo/1346/" TargetMode="External"/><Relationship Id="rId23" Type="http://schemas.openxmlformats.org/officeDocument/2006/relationships/hyperlink" Target="https://www.chittorgarh.com/ipo/irfc-ipo/1076/" TargetMode="External"/><Relationship Id="rId119" Type="http://schemas.openxmlformats.org/officeDocument/2006/relationships/hyperlink" Target="https://www.chittorgarh.com/ipo/endurance-technologies-ipo/593/" TargetMode="External"/><Relationship Id="rId270" Type="http://schemas.openxmlformats.org/officeDocument/2006/relationships/hyperlink" Target="https://www.chittorgarh.com/ipo/five-star-business-finance-ipo/1327/" TargetMode="External"/><Relationship Id="rId291" Type="http://schemas.openxmlformats.org/officeDocument/2006/relationships/hyperlink" Target="https://www.chittorgarh.com/ipo/hariom-pipe-industries-ipo/1240/" TargetMode="External"/><Relationship Id="rId44" Type="http://schemas.openxmlformats.org/officeDocument/2006/relationships/hyperlink" Target="https://www.chittorgarh.com/ipo/sterling-and-wilson-ipo/1007/" TargetMode="External"/><Relationship Id="rId65" Type="http://schemas.openxmlformats.org/officeDocument/2006/relationships/hyperlink" Target="https://www.chittorgarh.com/ipo/lemon-tree-ipo/846/" TargetMode="External"/><Relationship Id="rId86" Type="http://schemas.openxmlformats.org/officeDocument/2006/relationships/hyperlink" Target="https://www.chittorgarh.com/ipo/reliance-nippon-life-ipo/752/" TargetMode="External"/><Relationship Id="rId130" Type="http://schemas.openxmlformats.org/officeDocument/2006/relationships/hyperlink" Target="https://www.chittorgarh.com/ipo/mahanagar_gas_ipo/551/" TargetMode="External"/><Relationship Id="rId151" Type="http://schemas.openxmlformats.org/officeDocument/2006/relationships/hyperlink" Target="https://www.chittorgarh.com/ipo/navkar_corporation_ipo/488/" TargetMode="External"/><Relationship Id="rId172" Type="http://schemas.openxmlformats.org/officeDocument/2006/relationships/hyperlink" Target="https://www.chittorgarh.com/ipo/care_ipo/358/" TargetMode="External"/><Relationship Id="rId193" Type="http://schemas.openxmlformats.org/officeDocument/2006/relationships/hyperlink" Target="https://www.chittorgarh.com/ipo/tree_house_ipo/321/" TargetMode="External"/><Relationship Id="rId207" Type="http://schemas.openxmlformats.org/officeDocument/2006/relationships/hyperlink" Target="https://www.chittorgarh.com/ipo/paramount_printpackaging_ipo/302/" TargetMode="External"/><Relationship Id="rId228" Type="http://schemas.openxmlformats.org/officeDocument/2006/relationships/hyperlink" Target="https://www.chittorgarh.com/ipo/chemplast-sanmar-ipo/1141/" TargetMode="External"/><Relationship Id="rId249" Type="http://schemas.openxmlformats.org/officeDocument/2006/relationships/hyperlink" Target="https://www.chittorgarh.com/ipo/shriram-properties-ipo/1191/" TargetMode="External"/><Relationship Id="rId13" Type="http://schemas.openxmlformats.org/officeDocument/2006/relationships/hyperlink" Target="https://www.chittorgarh.com/ipo/craftsman-automation-ipo/1095/" TargetMode="External"/><Relationship Id="rId109" Type="http://schemas.openxmlformats.org/officeDocument/2006/relationships/hyperlink" Target="https://www.chittorgarh.com/ipo/s-chand-and-company-ipo/651/" TargetMode="External"/><Relationship Id="rId260" Type="http://schemas.openxmlformats.org/officeDocument/2006/relationships/hyperlink" Target="https://www.chittorgarh.com/ipo/kfin-technologies-ipo/1354/" TargetMode="External"/><Relationship Id="rId281" Type="http://schemas.openxmlformats.org/officeDocument/2006/relationships/hyperlink" Target="https://www.chittorgarh.com/ipo/aether-industries-ipo/1257/" TargetMode="External"/><Relationship Id="rId34" Type="http://schemas.openxmlformats.org/officeDocument/2006/relationships/hyperlink" Target="https://www.chittorgarh.com/ipo/chemcon-ipo/1060/" TargetMode="External"/><Relationship Id="rId55" Type="http://schemas.openxmlformats.org/officeDocument/2006/relationships/hyperlink" Target="https://www.chittorgarh.com/ipo/aavas-financiers-ipo/925/" TargetMode="External"/><Relationship Id="rId76" Type="http://schemas.openxmlformats.org/officeDocument/2006/relationships/hyperlink" Target="https://www.chittorgarh.com/ipo/amber-enterprises-ipo/792/" TargetMode="External"/><Relationship Id="rId97" Type="http://schemas.openxmlformats.org/officeDocument/2006/relationships/hyperlink" Target="https://www.chittorgarh.com/ipo/bharat-road-network-ipo/703/" TargetMode="External"/><Relationship Id="rId120" Type="http://schemas.openxmlformats.org/officeDocument/2006/relationships/hyperlink" Target="https://www.chittorgarh.com/ipo/hpl_electric_ipo/579/" TargetMode="External"/><Relationship Id="rId141" Type="http://schemas.openxmlformats.org/officeDocument/2006/relationships/hyperlink" Target="https://www.chittorgarh.com/ipo/narayana_hrudayalaya_ipo/513/" TargetMode="External"/><Relationship Id="rId7" Type="http://schemas.openxmlformats.org/officeDocument/2006/relationships/hyperlink" Target="https://www.chittorgarh.com/ipo/lodha-developers-ipo/1107/" TargetMode="External"/><Relationship Id="rId162" Type="http://schemas.openxmlformats.org/officeDocument/2006/relationships/hyperlink" Target="https://www.chittorgarh.com/ipo/monte_carlo_ipo/437/" TargetMode="External"/><Relationship Id="rId183" Type="http://schemas.openxmlformats.org/officeDocument/2006/relationships/hyperlink" Target="https://www.chittorgarh.com/ipo/taksheel_solutions_ipo/326/" TargetMode="External"/><Relationship Id="rId218" Type="http://schemas.openxmlformats.org/officeDocument/2006/relationships/hyperlink" Target="https://www.chittorgarh.com/ipo/zomato-ipo/1126/" TargetMode="External"/><Relationship Id="rId239" Type="http://schemas.openxmlformats.org/officeDocument/2006/relationships/hyperlink" Target="https://www.chittorgarh.com/ipo/sjs-enterprises-ipo/1168/" TargetMode="External"/><Relationship Id="rId250" Type="http://schemas.openxmlformats.org/officeDocument/2006/relationships/hyperlink" Target="https://www.chittorgarh.com/ipo/mapmyindia-ipo/1187/" TargetMode="External"/><Relationship Id="rId271" Type="http://schemas.openxmlformats.org/officeDocument/2006/relationships/hyperlink" Target="https://www.chittorgarh.com/ipo/bikaji-foods-ipo/1332/" TargetMode="External"/><Relationship Id="rId292" Type="http://schemas.openxmlformats.org/officeDocument/2006/relationships/hyperlink" Target="https://www.chittorgarh.com/ipo/veranda-learning-ipo/1236/" TargetMode="External"/><Relationship Id="rId24" Type="http://schemas.openxmlformats.org/officeDocument/2006/relationships/hyperlink" Target="https://www.chittorgarh.com/ipo/antony-waste-ipo/1078/" TargetMode="External"/><Relationship Id="rId45" Type="http://schemas.openxmlformats.org/officeDocument/2006/relationships/hyperlink" Target="https://www.chittorgarh.com/ipo/spandana-sphoorty-ipo/1006/" TargetMode="External"/><Relationship Id="rId66" Type="http://schemas.openxmlformats.org/officeDocument/2006/relationships/hyperlink" Target="https://www.chittorgarh.com/ipo/icici-securities-ipo/839/" TargetMode="External"/><Relationship Id="rId87" Type="http://schemas.openxmlformats.org/officeDocument/2006/relationships/hyperlink" Target="https://www.chittorgarh.com/ipo/general-insurance-corporation-ipo/748/" TargetMode="External"/><Relationship Id="rId110" Type="http://schemas.openxmlformats.org/officeDocument/2006/relationships/hyperlink" Target="https://www.chittorgarh.com/ipo/shankara-buildpro-ipo/635/" TargetMode="External"/><Relationship Id="rId131" Type="http://schemas.openxmlformats.org/officeDocument/2006/relationships/hyperlink" Target="https://www.chittorgarh.com/ipo/parag_milk_ipo/545/" TargetMode="External"/><Relationship Id="rId152" Type="http://schemas.openxmlformats.org/officeDocument/2006/relationships/hyperlink" Target="https://www.chittorgarh.com/ipo/power_mech_projects_ipo/486/" TargetMode="External"/><Relationship Id="rId173" Type="http://schemas.openxmlformats.org/officeDocument/2006/relationships/hyperlink" Target="https://www.chittorgarh.com/ipo/tara_jewels_ipo/356/" TargetMode="External"/><Relationship Id="rId194" Type="http://schemas.openxmlformats.org/officeDocument/2006/relationships/hyperlink" Target="https://www.chittorgarh.com/ipo/l_t_finance_ipo/318/" TargetMode="External"/><Relationship Id="rId208" Type="http://schemas.openxmlformats.org/officeDocument/2006/relationships/hyperlink" Target="https://www.chittorgarh.com/ipo/muthoot_ipo/300/" TargetMode="External"/><Relationship Id="rId229" Type="http://schemas.openxmlformats.org/officeDocument/2006/relationships/hyperlink" Target="https://www.chittorgarh.com/ipo/aptus-value-housing-finance-ipo/1140/" TargetMode="External"/><Relationship Id="rId240" Type="http://schemas.openxmlformats.org/officeDocument/2006/relationships/hyperlink" Target="https://www.chittorgarh.com/ipo/paytm-ipo/1128/" TargetMode="External"/><Relationship Id="rId261" Type="http://schemas.openxmlformats.org/officeDocument/2006/relationships/hyperlink" Target="https://www.chittorgarh.com/ipo/abans-holdings-ipo/1350/" TargetMode="External"/><Relationship Id="rId14" Type="http://schemas.openxmlformats.org/officeDocument/2006/relationships/hyperlink" Target="https://www.chittorgarh.com/ipo/anupam-rasayan-ipo/1097/" TargetMode="External"/><Relationship Id="rId35" Type="http://schemas.openxmlformats.org/officeDocument/2006/relationships/hyperlink" Target="https://www.chittorgarh.com/ipo/route-mobile-ipo/1058/" TargetMode="External"/><Relationship Id="rId56" Type="http://schemas.openxmlformats.org/officeDocument/2006/relationships/hyperlink" Target="https://www.chittorgarh.com/ipo/garden-reach-shipbuilders-ipo/921/" TargetMode="External"/><Relationship Id="rId77" Type="http://schemas.openxmlformats.org/officeDocument/2006/relationships/hyperlink" Target="https://www.chittorgarh.com/ipo/newgen-software-ipo/791/" TargetMode="External"/><Relationship Id="rId100" Type="http://schemas.openxmlformats.org/officeDocument/2006/relationships/hyperlink" Target="https://www.chittorgarh.com/ipo/sis-ipo/690/" TargetMode="External"/><Relationship Id="rId282" Type="http://schemas.openxmlformats.org/officeDocument/2006/relationships/hyperlink" Target="https://www.chittorgarh.com/ipo/emudhra-ipo/1254/" TargetMode="External"/><Relationship Id="rId8" Type="http://schemas.openxmlformats.org/officeDocument/2006/relationships/hyperlink" Target="https://www.chittorgarh.com/ipo/barbeque-nation-ipo/1102/" TargetMode="External"/><Relationship Id="rId98" Type="http://schemas.openxmlformats.org/officeDocument/2006/relationships/hyperlink" Target="https://www.chittorgarh.com/ipo/apex-frozen-foods-ipo/698/" TargetMode="External"/><Relationship Id="rId121" Type="http://schemas.openxmlformats.org/officeDocument/2006/relationships/hyperlink" Target="https://www.chittorgarh.com/ipo/icici_prudential_life_ipo/571/" TargetMode="External"/><Relationship Id="rId142" Type="http://schemas.openxmlformats.org/officeDocument/2006/relationships/hyperlink" Target="https://www.chittorgarh.com/ipo/alkem_laboratories_ipo/512/" TargetMode="External"/><Relationship Id="rId163" Type="http://schemas.openxmlformats.org/officeDocument/2006/relationships/hyperlink" Target="https://www.chittorgarh.com/ipo/shemaroo_ipo/431/" TargetMode="External"/><Relationship Id="rId184" Type="http://schemas.openxmlformats.org/officeDocument/2006/relationships/hyperlink" Target="https://www.chittorgarh.com/ipo/onelife_capital_ipo/332/" TargetMode="External"/><Relationship Id="rId219" Type="http://schemas.openxmlformats.org/officeDocument/2006/relationships/hyperlink" Target="https://www.chittorgarh.com/ipo/tatva-chintan-pharma-ipo/1127/" TargetMode="External"/><Relationship Id="rId230" Type="http://schemas.openxmlformats.org/officeDocument/2006/relationships/hyperlink" Target="https://www.chittorgarh.com/ipo/ami-organics-ipo/1143/" TargetMode="External"/><Relationship Id="rId251" Type="http://schemas.openxmlformats.org/officeDocument/2006/relationships/hyperlink" Target="https://www.chittorgarh.com/ipo/metro-brands-ipo/1193/" TargetMode="External"/><Relationship Id="rId25" Type="http://schemas.openxmlformats.org/officeDocument/2006/relationships/hyperlink" Target="https://www.chittorgarh.com/ipo/mrs-bectors-food-ipo/1077/" TargetMode="External"/><Relationship Id="rId46" Type="http://schemas.openxmlformats.org/officeDocument/2006/relationships/hyperlink" Target="https://www.chittorgarh.com/ipo/affle-ipo/1005/" TargetMode="External"/><Relationship Id="rId67" Type="http://schemas.openxmlformats.org/officeDocument/2006/relationships/hyperlink" Target="https://www.chittorgarh.com/ipo/mishra-dhatu-nigam-ipo/835/" TargetMode="External"/><Relationship Id="rId272" Type="http://schemas.openxmlformats.org/officeDocument/2006/relationships/hyperlink" Target="https://www.chittorgarh.com/ipo/global-health-ipo/1330/" TargetMode="External"/><Relationship Id="rId293" Type="http://schemas.openxmlformats.org/officeDocument/2006/relationships/hyperlink" Target="https://www.chittorgarh.com/ipo/uma-exports-ipo/1235/" TargetMode="External"/><Relationship Id="rId88" Type="http://schemas.openxmlformats.org/officeDocument/2006/relationships/hyperlink" Target="https://www.chittorgarh.com/ipo/indian-energy-exchange-iex-ipo/746/" TargetMode="External"/><Relationship Id="rId111" Type="http://schemas.openxmlformats.org/officeDocument/2006/relationships/hyperlink" Target="https://www.chittorgarh.com/ipo/cl-educate-ipo/631/" TargetMode="External"/><Relationship Id="rId132" Type="http://schemas.openxmlformats.org/officeDocument/2006/relationships/hyperlink" Target="https://www.chittorgarh.com/ipo/ujjivan_financial_services_ipo/543/" TargetMode="External"/><Relationship Id="rId153" Type="http://schemas.openxmlformats.org/officeDocument/2006/relationships/hyperlink" Target="https://www.chittorgarh.com/ipo/syngene_international_ipo/481/" TargetMode="External"/><Relationship Id="rId174" Type="http://schemas.openxmlformats.org/officeDocument/2006/relationships/hyperlink" Target="https://www.chittorgarh.com/ipo/vks_projects_ipo/345/" TargetMode="External"/><Relationship Id="rId195" Type="http://schemas.openxmlformats.org/officeDocument/2006/relationships/hyperlink" Target="https://www.chittorgarh.com/ipo/inventure_securities_ipo/319/" TargetMode="External"/><Relationship Id="rId209" Type="http://schemas.openxmlformats.org/officeDocument/2006/relationships/hyperlink" Target="https://www.chittorgarh.com/ipo/shilpi_cables_ipo/299/" TargetMode="External"/><Relationship Id="rId220" Type="http://schemas.openxmlformats.org/officeDocument/2006/relationships/hyperlink" Target="https://www.chittorgarh.com/ipo/glenmark-life-sciences-ipo/1124/" TargetMode="External"/><Relationship Id="rId241" Type="http://schemas.openxmlformats.org/officeDocument/2006/relationships/hyperlink" Target="https://www.chittorgarh.com/ipo/sapphire-foods-ipo/1177/" TargetMode="External"/><Relationship Id="rId15" Type="http://schemas.openxmlformats.org/officeDocument/2006/relationships/hyperlink" Target="https://www.chittorgarh.com/ipo/easemytrip-ipo/1089/" TargetMode="External"/><Relationship Id="rId36" Type="http://schemas.openxmlformats.org/officeDocument/2006/relationships/hyperlink" Target="https://www.chittorgarh.com/ipo/happiest-minds-ipo/1056/" TargetMode="External"/><Relationship Id="rId57" Type="http://schemas.openxmlformats.org/officeDocument/2006/relationships/hyperlink" Target="https://www.chittorgarh.com/ipo/ircon-international-ipo/922/" TargetMode="External"/><Relationship Id="rId262" Type="http://schemas.openxmlformats.org/officeDocument/2006/relationships/hyperlink" Target="https://www.chittorgarh.com/ipo/landmark-cars-ipo/1338/" TargetMode="External"/><Relationship Id="rId283" Type="http://schemas.openxmlformats.org/officeDocument/2006/relationships/hyperlink" Target="https://www.chittorgarh.com/ipo/ethos-limited-ipo/1247/" TargetMode="External"/><Relationship Id="rId78" Type="http://schemas.openxmlformats.org/officeDocument/2006/relationships/hyperlink" Target="https://www.chittorgarh.com/ipo/apollo-micro-systems-ipo/788/" TargetMode="External"/><Relationship Id="rId99" Type="http://schemas.openxmlformats.org/officeDocument/2006/relationships/hyperlink" Target="https://www.chittorgarh.com/ipo/cochin-shipyard-ipo/684/" TargetMode="External"/><Relationship Id="rId101" Type="http://schemas.openxmlformats.org/officeDocument/2006/relationships/hyperlink" Target="https://www.chittorgarh.com/ipo/salasar-techno-ipo/683/" TargetMode="External"/><Relationship Id="rId122" Type="http://schemas.openxmlformats.org/officeDocument/2006/relationships/hyperlink" Target="https://www.chittorgarh.com/ipo/gna_axles_ipo/574/" TargetMode="External"/><Relationship Id="rId143" Type="http://schemas.openxmlformats.org/officeDocument/2006/relationships/hyperlink" Target="https://www.chittorgarh.com/ipo/dr_lal_pathlabs_ipo/511/" TargetMode="External"/><Relationship Id="rId164" Type="http://schemas.openxmlformats.org/officeDocument/2006/relationships/hyperlink" Target="https://www.chittorgarh.com/ipo/sharda_cropchem_ipo/430/" TargetMode="External"/><Relationship Id="rId185" Type="http://schemas.openxmlformats.org/officeDocument/2006/relationships/hyperlink" Target="https://www.chittorgarh.com/ipo/m_and_b_switchgears_ipo/330/" TargetMode="External"/><Relationship Id="rId9" Type="http://schemas.openxmlformats.org/officeDocument/2006/relationships/hyperlink" Target="https://www.chittorgarh.com/ipo/suryoday-small-finance-bank-ipo/1099/" TargetMode="External"/><Relationship Id="rId210" Type="http://schemas.openxmlformats.org/officeDocument/2006/relationships/hyperlink" Target="https://www.chittorgarh.com/ipo/ptc_india_ipo/298/" TargetMode="External"/><Relationship Id="rId26" Type="http://schemas.openxmlformats.org/officeDocument/2006/relationships/hyperlink" Target="https://www.chittorgarh.com/ipo/burger-king-ipo/1075/" TargetMode="External"/><Relationship Id="rId231" Type="http://schemas.openxmlformats.org/officeDocument/2006/relationships/hyperlink" Target="https://www.chittorgarh.com/ipo/vijaya-diagnostic-ipo/1145/" TargetMode="External"/><Relationship Id="rId252" Type="http://schemas.openxmlformats.org/officeDocument/2006/relationships/hyperlink" Target="https://www.chittorgarh.com/ipo/medplus-health-ipo/1195/" TargetMode="External"/><Relationship Id="rId273" Type="http://schemas.openxmlformats.org/officeDocument/2006/relationships/hyperlink" Target="https://www.chittorgarh.com/ipo/fusion-micro-finance-ipo/1331/" TargetMode="External"/><Relationship Id="rId294" Type="http://schemas.openxmlformats.org/officeDocument/2006/relationships/hyperlink" Target="https://www.chittorgarh.com/ipo/vedant-fashions-ipo/1217/" TargetMode="External"/><Relationship Id="rId47" Type="http://schemas.openxmlformats.org/officeDocument/2006/relationships/hyperlink" Target="https://www.chittorgarh.com/ipo/india-mart-ipo/998/" TargetMode="External"/><Relationship Id="rId68" Type="http://schemas.openxmlformats.org/officeDocument/2006/relationships/hyperlink" Target="https://www.chittorgarh.com/ipo/sandhar-technologies-ipo/834/" TargetMode="External"/><Relationship Id="rId89" Type="http://schemas.openxmlformats.org/officeDocument/2006/relationships/hyperlink" Target="https://www.chittorgarh.com/ipo/mas-financial-ipo/739/" TargetMode="External"/><Relationship Id="rId112" Type="http://schemas.openxmlformats.org/officeDocument/2006/relationships/hyperlink" Target="https://www.chittorgarh.com/ipo/music-broadcast-ipo/623/" TargetMode="External"/><Relationship Id="rId133" Type="http://schemas.openxmlformats.org/officeDocument/2006/relationships/hyperlink" Target="https://www.chittorgarh.com/ipo/thyrocare_technologies_ipo/541/" TargetMode="External"/><Relationship Id="rId154" Type="http://schemas.openxmlformats.org/officeDocument/2006/relationships/hyperlink" Target="https://www.chittorgarh.com/ipo/manpasand_beverages_ipo/472/" TargetMode="External"/><Relationship Id="rId175" Type="http://schemas.openxmlformats.org/officeDocument/2006/relationships/hyperlink" Target="https://www.chittorgarh.com/ipo/speciality_restaurants_ipo/342/" TargetMode="External"/><Relationship Id="rId196" Type="http://schemas.openxmlformats.org/officeDocument/2006/relationships/hyperlink" Target="https://www.chittorgarh.com/ipo/bharatiya_global_infomedia_ipo/317/" TargetMode="External"/><Relationship Id="rId200" Type="http://schemas.openxmlformats.org/officeDocument/2006/relationships/hyperlink" Target="https://www.chittorgarh.com/ipo/vms_industries_ipo/313/" TargetMode="External"/><Relationship Id="rId16" Type="http://schemas.openxmlformats.org/officeDocument/2006/relationships/hyperlink" Target="https://www.chittorgarh.com/ipo/mtar-technologies-ipo/1088/" TargetMode="External"/><Relationship Id="rId221" Type="http://schemas.openxmlformats.org/officeDocument/2006/relationships/hyperlink" Target="https://www.chittorgarh.com/ipo/rolex-rings-ipo/1129/" TargetMode="External"/><Relationship Id="rId242" Type="http://schemas.openxmlformats.org/officeDocument/2006/relationships/hyperlink" Target="https://www.chittorgarh.com/ipo/latent-view-analytics-ipo/1178/" TargetMode="External"/><Relationship Id="rId263" Type="http://schemas.openxmlformats.org/officeDocument/2006/relationships/hyperlink" Target="https://www.chittorgarh.com/ipo/sula-vineyards-ipo/1345/" TargetMode="External"/><Relationship Id="rId284" Type="http://schemas.openxmlformats.org/officeDocument/2006/relationships/hyperlink" Target="https://www.chittorgarh.com/ipo/paradeep-phosphates-ipo/1253/" TargetMode="External"/><Relationship Id="rId37" Type="http://schemas.openxmlformats.org/officeDocument/2006/relationships/hyperlink" Target="https://www.chittorgarh.com/ipo/rossari-biotech-ipo/1049/" TargetMode="External"/><Relationship Id="rId58" Type="http://schemas.openxmlformats.org/officeDocument/2006/relationships/hyperlink" Target="https://www.chittorgarh.com/ipo/creditaccess-grameen-ipo/900/" TargetMode="External"/><Relationship Id="rId79" Type="http://schemas.openxmlformats.org/officeDocument/2006/relationships/hyperlink" Target="https://www.chittorgarh.com/ipo/astron-paper-ipo/757/" TargetMode="External"/><Relationship Id="rId102" Type="http://schemas.openxmlformats.org/officeDocument/2006/relationships/hyperlink" Target="https://www.chittorgarh.com/ipo/au-financiers-ipo/672/" TargetMode="External"/><Relationship Id="rId123" Type="http://schemas.openxmlformats.org/officeDocument/2006/relationships/hyperlink" Target="https://www.chittorgarh.com/ipo/l_t_technology_ipo/573/" TargetMode="External"/><Relationship Id="rId144" Type="http://schemas.openxmlformats.org/officeDocument/2006/relationships/hyperlink" Target="https://www.chittorgarh.com/ipo/s_h_kelkar_ipo/508/" TargetMode="External"/><Relationship Id="rId90" Type="http://schemas.openxmlformats.org/officeDocument/2006/relationships/hyperlink" Target="https://www.chittorgarh.com/ipo/godrej-agrovet-ipo/734/" TargetMode="External"/><Relationship Id="rId165" Type="http://schemas.openxmlformats.org/officeDocument/2006/relationships/hyperlink" Target="https://www.chittorgarh.com/ipo/snowman_logistics_ipo/428/" TargetMode="External"/><Relationship Id="rId186" Type="http://schemas.openxmlformats.org/officeDocument/2006/relationships/hyperlink" Target="https://www.chittorgarh.com/ipo/tijaria_polypipes_ipo/327/" TargetMode="External"/><Relationship Id="rId211" Type="http://schemas.openxmlformats.org/officeDocument/2006/relationships/hyperlink" Target="https://www.chittorgarh.com/ipo/lovable_lingeries_ipo/297/" TargetMode="External"/><Relationship Id="rId232" Type="http://schemas.openxmlformats.org/officeDocument/2006/relationships/hyperlink" Target="https://www.chittorgarh.com/ipo/sansera-engineering-ipo/1149/" TargetMode="External"/><Relationship Id="rId253" Type="http://schemas.openxmlformats.org/officeDocument/2006/relationships/hyperlink" Target="https://www.chittorgarh.com/ipo/data-patterns-ipo/1190/" TargetMode="External"/><Relationship Id="rId274" Type="http://schemas.openxmlformats.org/officeDocument/2006/relationships/hyperlink" Target="https://www.chittorgarh.com/ipo/dcx-systems-ipo/1316/" TargetMode="External"/><Relationship Id="rId295" Type="http://schemas.openxmlformats.org/officeDocument/2006/relationships/hyperlink" Target="https://www.chittorgarh.com/ipo/adani-wilmar-ipo/1173/" TargetMode="External"/><Relationship Id="rId27" Type="http://schemas.openxmlformats.org/officeDocument/2006/relationships/hyperlink" Target="https://www.chittorgarh.com/ipo/gland-pharma-ipo/1072/" TargetMode="External"/><Relationship Id="rId48" Type="http://schemas.openxmlformats.org/officeDocument/2006/relationships/hyperlink" Target="https://www.chittorgarh.com/ipo/neogen-chemicals-ipo/984/" TargetMode="External"/><Relationship Id="rId69" Type="http://schemas.openxmlformats.org/officeDocument/2006/relationships/hyperlink" Target="https://www.chittorgarh.com/ipo/karda-construction-ipo/832/" TargetMode="External"/><Relationship Id="rId113" Type="http://schemas.openxmlformats.org/officeDocument/2006/relationships/hyperlink" Target="https://www.chittorgarh.com/ipo/avenue-supermarts-ipo/615/" TargetMode="External"/><Relationship Id="rId134" Type="http://schemas.openxmlformats.org/officeDocument/2006/relationships/hyperlink" Target="https://www.chittorgarh.com/ipo/equitas_holdings_ipo/536/" TargetMode="External"/><Relationship Id="rId80" Type="http://schemas.openxmlformats.org/officeDocument/2006/relationships/hyperlink" Target="https://www.chittorgarh.com/ipo/future-supply-chain-ipo/771/" TargetMode="External"/><Relationship Id="rId155" Type="http://schemas.openxmlformats.org/officeDocument/2006/relationships/hyperlink" Target="https://www.chittorgarh.com/ipo/pnc_infratech_ipo/469/" TargetMode="External"/><Relationship Id="rId176" Type="http://schemas.openxmlformats.org/officeDocument/2006/relationships/hyperlink" Target="https://www.chittorgarh.com/ipo/bhimji_zaveri_ipo/339/" TargetMode="External"/><Relationship Id="rId197" Type="http://schemas.openxmlformats.org/officeDocument/2006/relationships/hyperlink" Target="https://www.chittorgarh.com/ipo/readymade_steel_india_ipo/316/" TargetMode="External"/><Relationship Id="rId201" Type="http://schemas.openxmlformats.org/officeDocument/2006/relationships/hyperlink" Target="https://www.chittorgarh.com/ipo/timbor_home_ipo/312/" TargetMode="External"/><Relationship Id="rId222" Type="http://schemas.openxmlformats.org/officeDocument/2006/relationships/hyperlink" Target="https://www.chittorgarh.com/ipo/windlas-biotech-ipo/1135/" TargetMode="External"/><Relationship Id="rId243" Type="http://schemas.openxmlformats.org/officeDocument/2006/relationships/hyperlink" Target="https://www.chittorgarh.com/ipo/tarsons-products-ipo/1179/" TargetMode="External"/><Relationship Id="rId264" Type="http://schemas.openxmlformats.org/officeDocument/2006/relationships/hyperlink" Target="https://www.chittorgarh.com/ipo/uniparts-india-ipo/1324/" TargetMode="External"/><Relationship Id="rId285" Type="http://schemas.openxmlformats.org/officeDocument/2006/relationships/hyperlink" Target="https://www.chittorgarh.com/ipo/venus-pipes-tubes-ipo/1248/" TargetMode="External"/><Relationship Id="rId17" Type="http://schemas.openxmlformats.org/officeDocument/2006/relationships/hyperlink" Target="https://www.chittorgarh.com/ipo/heranba-industries-ipo/1085/" TargetMode="External"/><Relationship Id="rId38" Type="http://schemas.openxmlformats.org/officeDocument/2006/relationships/hyperlink" Target="https://www.chittorgarh.com/ipo/sbi-cards-ipo/1025/" TargetMode="External"/><Relationship Id="rId59" Type="http://schemas.openxmlformats.org/officeDocument/2006/relationships/hyperlink" Target="https://www.chittorgarh.com/ipo/hdfc-amc-ipo/897/" TargetMode="External"/><Relationship Id="rId103" Type="http://schemas.openxmlformats.org/officeDocument/2006/relationships/hyperlink" Target="https://www.chittorgarh.com/ipo/gtpl-hathway-ipo/669/" TargetMode="External"/><Relationship Id="rId124" Type="http://schemas.openxmlformats.org/officeDocument/2006/relationships/hyperlink" Target="https://www.chittorgarh.com/ipo/rbl_bank_ipo/564/" TargetMode="External"/><Relationship Id="rId70" Type="http://schemas.openxmlformats.org/officeDocument/2006/relationships/hyperlink" Target="https://www.chittorgarh.com/ipo/hindustan-aeronautics-ipo/831/" TargetMode="External"/><Relationship Id="rId91" Type="http://schemas.openxmlformats.org/officeDocument/2006/relationships/hyperlink" Target="https://www.chittorgarh.com/ipo/prataap-snacks/707/" TargetMode="External"/><Relationship Id="rId145" Type="http://schemas.openxmlformats.org/officeDocument/2006/relationships/hyperlink" Target="https://www.chittorgarh.com/ipo/indigo_ipo/492/" TargetMode="External"/><Relationship Id="rId166" Type="http://schemas.openxmlformats.org/officeDocument/2006/relationships/hyperlink" Target="https://www.chittorgarh.com/ipo/wonderla_holidays_ipo/418/" TargetMode="External"/><Relationship Id="rId187" Type="http://schemas.openxmlformats.org/officeDocument/2006/relationships/hyperlink" Target="https://www.chittorgarh.com/ipo/rdb_rasayans_ipo/328/" TargetMode="External"/><Relationship Id="rId1" Type="http://schemas.openxmlformats.org/officeDocument/2006/relationships/hyperlink" Target="https://www.chittorgarh.com/ipo/g-r-infraprojects-ipo/1122/" TargetMode="External"/><Relationship Id="rId212" Type="http://schemas.openxmlformats.org/officeDocument/2006/relationships/hyperlink" Target="https://www.chittorgarh.com/ipo/acropetal_ipo/296/" TargetMode="External"/><Relationship Id="rId233" Type="http://schemas.openxmlformats.org/officeDocument/2006/relationships/hyperlink" Target="https://www.chittorgarh.com/ipo/paras-defence-and-space-technologies-ipo/1153/" TargetMode="External"/><Relationship Id="rId254" Type="http://schemas.openxmlformats.org/officeDocument/2006/relationships/hyperlink" Target="https://www.chittorgarh.com/ipo/hp-adhesives-ipo/1194/" TargetMode="External"/><Relationship Id="rId28" Type="http://schemas.openxmlformats.org/officeDocument/2006/relationships/hyperlink" Target="https://www.chittorgarh.com/ipo/equitas-small-finance-bank-ipo/1040/" TargetMode="External"/><Relationship Id="rId49" Type="http://schemas.openxmlformats.org/officeDocument/2006/relationships/hyperlink" Target="https://www.chittorgarh.com/ipo/polycab-ipo/979/" TargetMode="External"/><Relationship Id="rId114" Type="http://schemas.openxmlformats.org/officeDocument/2006/relationships/hyperlink" Target="https://www.chittorgarh.com/ipo/bse-limited-ipo/611/" TargetMode="External"/><Relationship Id="rId275" Type="http://schemas.openxmlformats.org/officeDocument/2006/relationships/hyperlink" Target="https://www.chittorgarh.com/ipo/tracxn-ipo/1199/" TargetMode="External"/><Relationship Id="rId296" Type="http://schemas.openxmlformats.org/officeDocument/2006/relationships/hyperlink" Target="https://www.chittorgarh.com/ipo/ags-transact-ipo/1209/" TargetMode="External"/><Relationship Id="rId60" Type="http://schemas.openxmlformats.org/officeDocument/2006/relationships/hyperlink" Target="https://www.chittorgarh.com/ipo/tcns-clothing-ipo/904/" TargetMode="External"/><Relationship Id="rId81" Type="http://schemas.openxmlformats.org/officeDocument/2006/relationships/hyperlink" Target="https://www.chittorgarh.com/ipo/shalby-hospital-ipo/772/" TargetMode="External"/><Relationship Id="rId135" Type="http://schemas.openxmlformats.org/officeDocument/2006/relationships/hyperlink" Target="https://www.chittorgarh.com/ipo/infibeam_ipo/532/" TargetMode="External"/><Relationship Id="rId156" Type="http://schemas.openxmlformats.org/officeDocument/2006/relationships/hyperlink" Target="https://www.chittorgarh.com/ipo/ufo_moviez_ipo/468/" TargetMode="External"/><Relationship Id="rId177" Type="http://schemas.openxmlformats.org/officeDocument/2006/relationships/hyperlink" Target="https://www.chittorgarh.com/ipo/mt_educare_ipo/338/" TargetMode="External"/><Relationship Id="rId198" Type="http://schemas.openxmlformats.org/officeDocument/2006/relationships/hyperlink" Target="https://www.chittorgarh.com/ipo/rushil_decor_ipo/315/" TargetMode="External"/><Relationship Id="rId202" Type="http://schemas.openxmlformats.org/officeDocument/2006/relationships/hyperlink" Target="https://www.chittorgarh.com/ipo/aanjaneya_ipo/308/" TargetMode="External"/><Relationship Id="rId223" Type="http://schemas.openxmlformats.org/officeDocument/2006/relationships/hyperlink" Target="https://www.chittorgarh.com/ipo/exxaro-tiles-ipo/1134/" TargetMode="External"/><Relationship Id="rId244" Type="http://schemas.openxmlformats.org/officeDocument/2006/relationships/hyperlink" Target="https://www.chittorgarh.com/ipo/gocolors-ipo/1181/" TargetMode="External"/><Relationship Id="rId18" Type="http://schemas.openxmlformats.org/officeDocument/2006/relationships/hyperlink" Target="https://www.chittorgarh.com/ipo/railtel-ipo/1073/" TargetMode="External"/><Relationship Id="rId39" Type="http://schemas.openxmlformats.org/officeDocument/2006/relationships/hyperlink" Target="https://www.chittorgarh.com/ipo/prince-pipes-ipo/1027/" TargetMode="External"/><Relationship Id="rId265" Type="http://schemas.openxmlformats.org/officeDocument/2006/relationships/hyperlink" Target="https://www.chittorgarh.com/ipo/dharmaj-crop-guard-ipo/1339/" TargetMode="External"/><Relationship Id="rId286" Type="http://schemas.openxmlformats.org/officeDocument/2006/relationships/hyperlink" Target="https://www.chittorgarh.com/ipo/delhivery-ipo/1213/" TargetMode="External"/><Relationship Id="rId50" Type="http://schemas.openxmlformats.org/officeDocument/2006/relationships/hyperlink" Target="https://www.chittorgarh.com/ipo/metropolis-ipo/978/" TargetMode="External"/><Relationship Id="rId104" Type="http://schemas.openxmlformats.org/officeDocument/2006/relationships/hyperlink" Target="https://www.chittorgarh.com/ipo/cdsl-ipo/620/" TargetMode="External"/><Relationship Id="rId125" Type="http://schemas.openxmlformats.org/officeDocument/2006/relationships/hyperlink" Target="https://www.chittorgarh.com/ipo/s_p_apparels_ipo/563/" TargetMode="External"/><Relationship Id="rId146" Type="http://schemas.openxmlformats.org/officeDocument/2006/relationships/hyperlink" Target="https://www.chittorgarh.com/ipo/cafe_coffee_day_ipo/507/" TargetMode="External"/><Relationship Id="rId167" Type="http://schemas.openxmlformats.org/officeDocument/2006/relationships/hyperlink" Target="https://www.chittorgarh.com/ipo/just_dial_ipo/377/" TargetMode="External"/><Relationship Id="rId188" Type="http://schemas.openxmlformats.org/officeDocument/2006/relationships/hyperlink" Target="https://www.chittorgarh.com/ipo/prakash_constrowell_ipo/325/" TargetMode="External"/><Relationship Id="rId71" Type="http://schemas.openxmlformats.org/officeDocument/2006/relationships/hyperlink" Target="https://www.chittorgarh.com/ipo/bandhan-bank-ipo/822/" TargetMode="External"/><Relationship Id="rId92" Type="http://schemas.openxmlformats.org/officeDocument/2006/relationships/hyperlink" Target="https://www.chittorgarh.com/ipo/sbi-life-insurance-ipo/713/" TargetMode="External"/><Relationship Id="rId213" Type="http://schemas.openxmlformats.org/officeDocument/2006/relationships/hyperlink" Target="https://www.chittorgarh.com/ipo/fineotex_ipo/294/" TargetMode="External"/><Relationship Id="rId234" Type="http://schemas.openxmlformats.org/officeDocument/2006/relationships/hyperlink" Target="https://www.chittorgarh.com/ipo/aditya-birla-sun-life-amc-ipo/1151/" TargetMode="External"/><Relationship Id="rId2" Type="http://schemas.openxmlformats.org/officeDocument/2006/relationships/hyperlink" Target="https://www.chittorgarh.com/ipo/india-pesticides-ipo/1119/" TargetMode="External"/><Relationship Id="rId29" Type="http://schemas.openxmlformats.org/officeDocument/2006/relationships/hyperlink" Target="https://www.chittorgarh.com/ipo/likhitha-infrastructure-ipo/1062/" TargetMode="External"/><Relationship Id="rId255" Type="http://schemas.openxmlformats.org/officeDocument/2006/relationships/hyperlink" Target="https://www.chittorgarh.com/ipo/supriya-lifescience-ipo/1197/" TargetMode="External"/><Relationship Id="rId276" Type="http://schemas.openxmlformats.org/officeDocument/2006/relationships/hyperlink" Target="https://www.chittorgarh.com/ipo/electronics-mart-india-ipo/1318/" TargetMode="External"/><Relationship Id="rId40" Type="http://schemas.openxmlformats.org/officeDocument/2006/relationships/hyperlink" Target="https://www.chittorgarh.com/ipo/ujjivan-bank-ipo/1023/" TargetMode="External"/><Relationship Id="rId115" Type="http://schemas.openxmlformats.org/officeDocument/2006/relationships/hyperlink" Target="https://www.chittorgarh.com/ipo/laurus-labs-ipo/606/" TargetMode="External"/><Relationship Id="rId136" Type="http://schemas.openxmlformats.org/officeDocument/2006/relationships/hyperlink" Target="https://www.chittorgarh.com/ipo/bharat_wire_ropes_ipo/530/" TargetMode="External"/><Relationship Id="rId157" Type="http://schemas.openxmlformats.org/officeDocument/2006/relationships/hyperlink" Target="https://www.chittorgarh.com/ipo/mep_infrastructure_ipo/467/" TargetMode="External"/><Relationship Id="rId178" Type="http://schemas.openxmlformats.org/officeDocument/2006/relationships/hyperlink" Target="https://www.chittorgarh.com/ipo/nbcc_ipo/337/" TargetMode="External"/><Relationship Id="rId61" Type="http://schemas.openxmlformats.org/officeDocument/2006/relationships/hyperlink" Target="https://www.chittorgarh.com/ipo/varroc-engineering-ipo/891/" TargetMode="External"/><Relationship Id="rId82" Type="http://schemas.openxmlformats.org/officeDocument/2006/relationships/hyperlink" Target="https://www.chittorgarh.com/ipo/hdfc-life-ipo/756/" TargetMode="External"/><Relationship Id="rId199" Type="http://schemas.openxmlformats.org/officeDocument/2006/relationships/hyperlink" Target="https://www.chittorgarh.com/ipo/birla_pacific_medspa_ipo/314/" TargetMode="External"/><Relationship Id="rId203" Type="http://schemas.openxmlformats.org/officeDocument/2006/relationships/hyperlink" Target="https://www.chittorgarh.com/ipo/sanghvi_forging_ipo/307/" TargetMode="External"/><Relationship Id="rId19" Type="http://schemas.openxmlformats.org/officeDocument/2006/relationships/hyperlink" Target="https://www.chittorgarh.com/ipo/nureca-limited-ipo/1084/" TargetMode="External"/><Relationship Id="rId224" Type="http://schemas.openxmlformats.org/officeDocument/2006/relationships/hyperlink" Target="https://www.chittorgarh.com/ipo/devyani-international-ipo/1136/" TargetMode="External"/><Relationship Id="rId245" Type="http://schemas.openxmlformats.org/officeDocument/2006/relationships/hyperlink" Target="https://www.chittorgarh.com/ipo/star-health-ipo/1184/" TargetMode="External"/><Relationship Id="rId266" Type="http://schemas.openxmlformats.org/officeDocument/2006/relationships/hyperlink" Target="https://www.chittorgarh.com/ipo/keystone-realtors-ipo/1336/" TargetMode="External"/><Relationship Id="rId287" Type="http://schemas.openxmlformats.org/officeDocument/2006/relationships/hyperlink" Target="https://www.chittorgarh.com/ipo/prudent-corporate-advisory-services-ipo/1252/" TargetMode="External"/><Relationship Id="rId30" Type="http://schemas.openxmlformats.org/officeDocument/2006/relationships/hyperlink" Target="https://www.chittorgarh.com/ipo/mazagon-dock-ipo/1064/" TargetMode="External"/><Relationship Id="rId105" Type="http://schemas.openxmlformats.org/officeDocument/2006/relationships/hyperlink" Target="https://www.chittorgarh.com/ipo/eris-lifesciences-ipo/668/" TargetMode="External"/><Relationship Id="rId126" Type="http://schemas.openxmlformats.org/officeDocument/2006/relationships/hyperlink" Target="https://www.chittorgarh.com/ipo/dilip_buildcon_ipo/562/" TargetMode="External"/><Relationship Id="rId147" Type="http://schemas.openxmlformats.org/officeDocument/2006/relationships/hyperlink" Target="https://www.chittorgarh.com/ipo/sadbhav_infra_ipo/494/" TargetMode="External"/><Relationship Id="rId168" Type="http://schemas.openxmlformats.org/officeDocument/2006/relationships/hyperlink" Target="https://www.chittorgarh.com/ipo/repco_home_finance_ipo/369/" TargetMode="External"/><Relationship Id="rId51" Type="http://schemas.openxmlformats.org/officeDocument/2006/relationships/hyperlink" Target="https://www.chittorgarh.com/ipo/rail-vikas-ipo/980/" TargetMode="External"/><Relationship Id="rId72" Type="http://schemas.openxmlformats.org/officeDocument/2006/relationships/hyperlink" Target="https://www.chittorgarh.com/ipo/bharat-dynamics-ipo/827/" TargetMode="External"/><Relationship Id="rId93" Type="http://schemas.openxmlformats.org/officeDocument/2006/relationships/hyperlink" Target="https://www.chittorgarh.com/ipo/icici-lombard-ipo/714/" TargetMode="External"/><Relationship Id="rId189" Type="http://schemas.openxmlformats.org/officeDocument/2006/relationships/hyperlink" Target="https://www.chittorgarh.com/ipo/pg_electroplast_ipo/324/" TargetMode="External"/><Relationship Id="rId3" Type="http://schemas.openxmlformats.org/officeDocument/2006/relationships/hyperlink" Target="https://www.chittorgarh.com/ipo/kims-ipo/1115/" TargetMode="External"/><Relationship Id="rId214" Type="http://schemas.openxmlformats.org/officeDocument/2006/relationships/hyperlink" Target="https://www.chittorgarh.com/ipo/sudar_ipo/295/" TargetMode="External"/><Relationship Id="rId235" Type="http://schemas.openxmlformats.org/officeDocument/2006/relationships/hyperlink" Target="https://www.chittorgarh.com/ipo/nykaa-ipo/1170/" TargetMode="External"/><Relationship Id="rId256" Type="http://schemas.openxmlformats.org/officeDocument/2006/relationships/hyperlink" Target="https://www.chittorgarh.com/ipo/cms-info-systems-ipo/1203/" TargetMode="External"/><Relationship Id="rId277" Type="http://schemas.openxmlformats.org/officeDocument/2006/relationships/hyperlink" Target="https://www.chittorgarh.com/ipo/harsha-engineers-international-ipo/1283/" TargetMode="External"/><Relationship Id="rId116" Type="http://schemas.openxmlformats.org/officeDocument/2006/relationships/hyperlink" Target="https://www.chittorgarh.com/ipo/sheela-foam-ipo/602/" TargetMode="External"/><Relationship Id="rId137" Type="http://schemas.openxmlformats.org/officeDocument/2006/relationships/hyperlink" Target="https://www.chittorgarh.com/ipo/healthcare_global_ipo/529/" TargetMode="External"/><Relationship Id="rId158" Type="http://schemas.openxmlformats.org/officeDocument/2006/relationships/hyperlink" Target="https://www.chittorgarh.com/ipo/vrl_logistics_ipo/466/" TargetMode="External"/><Relationship Id="rId20" Type="http://schemas.openxmlformats.org/officeDocument/2006/relationships/hyperlink" Target="https://www.chittorgarh.com/ipo/stove-kraft-ipo/1081/" TargetMode="External"/><Relationship Id="rId41" Type="http://schemas.openxmlformats.org/officeDocument/2006/relationships/hyperlink" Target="https://www.chittorgarh.com/ipo/csb-bank-ipo/1021/" TargetMode="External"/><Relationship Id="rId62" Type="http://schemas.openxmlformats.org/officeDocument/2006/relationships/hyperlink" Target="https://www.chittorgarh.com/ipo/fine-organic-ipo/887/" TargetMode="External"/><Relationship Id="rId83" Type="http://schemas.openxmlformats.org/officeDocument/2006/relationships/hyperlink" Target="https://www.chittorgarh.com/ipo/khadim-india-ipo/755/" TargetMode="External"/><Relationship Id="rId179" Type="http://schemas.openxmlformats.org/officeDocument/2006/relationships/hyperlink" Target="https://www.chittorgarh.com/ipo/olympic_cards_ipo/336/" TargetMode="External"/><Relationship Id="rId190" Type="http://schemas.openxmlformats.org/officeDocument/2006/relationships/hyperlink" Target="https://www.chittorgarh.com/ipo/td_power_ipo/323/" TargetMode="External"/><Relationship Id="rId204" Type="http://schemas.openxmlformats.org/officeDocument/2006/relationships/hyperlink" Target="https://www.chittorgarh.com/ipo/servalakshmi_ipo/301/" TargetMode="External"/><Relationship Id="rId225" Type="http://schemas.openxmlformats.org/officeDocument/2006/relationships/hyperlink" Target="https://www.chittorgarh.com/ipo/krsnaa-diagnostics-ipo/1138/" TargetMode="External"/><Relationship Id="rId246" Type="http://schemas.openxmlformats.org/officeDocument/2006/relationships/hyperlink" Target="https://www.chittorgarh.com/ipo/tega-industries-ipo/1185/" TargetMode="External"/><Relationship Id="rId267" Type="http://schemas.openxmlformats.org/officeDocument/2006/relationships/hyperlink" Target="https://www.chittorgarh.com/ipo/inox-green-energy-ipo/1335/" TargetMode="External"/><Relationship Id="rId288" Type="http://schemas.openxmlformats.org/officeDocument/2006/relationships/hyperlink" Target="https://www.chittorgarh.com/ipo/lic-ipo/1221/" TargetMode="External"/><Relationship Id="rId106" Type="http://schemas.openxmlformats.org/officeDocument/2006/relationships/hyperlink" Target="https://www.chittorgarh.com/ipo/tejas-networks-ipo/667/" TargetMode="External"/><Relationship Id="rId127" Type="http://schemas.openxmlformats.org/officeDocument/2006/relationships/hyperlink" Target="https://www.chittorgarh.com/ipo/advanced_enzyme_ipo/560/" TargetMode="External"/><Relationship Id="rId10" Type="http://schemas.openxmlformats.org/officeDocument/2006/relationships/hyperlink" Target="https://www.chittorgarh.com/ipo/nazara-technologies-ipo/1092/" TargetMode="External"/><Relationship Id="rId31" Type="http://schemas.openxmlformats.org/officeDocument/2006/relationships/hyperlink" Target="https://www.chittorgarh.com/ipo/uti-amc-ipo/1052/" TargetMode="External"/><Relationship Id="rId52" Type="http://schemas.openxmlformats.org/officeDocument/2006/relationships/hyperlink" Target="https://www.chittorgarh.com/ipo/mstc-limited-ipo/969/" TargetMode="External"/><Relationship Id="rId73" Type="http://schemas.openxmlformats.org/officeDocument/2006/relationships/hyperlink" Target="https://www.chittorgarh.com/ipo/hg-infra-ipo/816/" TargetMode="External"/><Relationship Id="rId94" Type="http://schemas.openxmlformats.org/officeDocument/2006/relationships/hyperlink" Target="https://www.chittorgarh.com/ipo/capacite-infra-ipo/711/" TargetMode="External"/><Relationship Id="rId148" Type="http://schemas.openxmlformats.org/officeDocument/2006/relationships/hyperlink" Target="https://www.chittorgarh.com/ipo/prabhat_dairy_ipo/491/" TargetMode="External"/><Relationship Id="rId169" Type="http://schemas.openxmlformats.org/officeDocument/2006/relationships/hyperlink" Target="https://www.chittorgarh.com/ipo/v_mart_retail_ipo/363/" TargetMode="External"/><Relationship Id="rId4" Type="http://schemas.openxmlformats.org/officeDocument/2006/relationships/hyperlink" Target="https://www.chittorgarh.com/ipo/dodla-dairy-ipo/1114/" TargetMode="External"/><Relationship Id="rId180" Type="http://schemas.openxmlformats.org/officeDocument/2006/relationships/hyperlink" Target="https://www.chittorgarh.com/ipo/mcx_ipo/177/" TargetMode="External"/><Relationship Id="rId215" Type="http://schemas.openxmlformats.org/officeDocument/2006/relationships/hyperlink" Target="https://www.chittorgarh.com/ipo/omkar_speciality_ipo/293/" TargetMode="External"/><Relationship Id="rId236" Type="http://schemas.openxmlformats.org/officeDocument/2006/relationships/hyperlink" Target="https://www.chittorgarh.com/ipo/fino-payments-bank-ipo/1166/" TargetMode="External"/><Relationship Id="rId257" Type="http://schemas.openxmlformats.org/officeDocument/2006/relationships/hyperlink" Target="https://www.chittorgarh.com/ipo/sah-polymers-ipo/1347/" TargetMode="External"/><Relationship Id="rId278" Type="http://schemas.openxmlformats.org/officeDocument/2006/relationships/hyperlink" Target="https://www.chittorgarh.com/ipo/tamilnad-mercantile-bank-ipo/1287/" TargetMode="External"/><Relationship Id="rId42" Type="http://schemas.openxmlformats.org/officeDocument/2006/relationships/hyperlink" Target="https://www.chittorgarh.com/ipo/irctc-ipo/1018/" TargetMode="External"/><Relationship Id="rId84" Type="http://schemas.openxmlformats.org/officeDocument/2006/relationships/hyperlink" Target="https://www.chittorgarh.com/ipo/new-india-assurance-ipo/754/" TargetMode="External"/><Relationship Id="rId138" Type="http://schemas.openxmlformats.org/officeDocument/2006/relationships/hyperlink" Target="https://www.chittorgarh.com/ipo/quick_heal_ipo/521/" TargetMode="External"/><Relationship Id="rId191" Type="http://schemas.openxmlformats.org/officeDocument/2006/relationships/hyperlink" Target="https://www.chittorgarh.com/ipo/srs_ipo/320/" TargetMode="External"/><Relationship Id="rId205" Type="http://schemas.openxmlformats.org/officeDocument/2006/relationships/hyperlink" Target="https://www.chittorgarh.com/ipo/innoventive_industries_ipo/303/" TargetMode="External"/><Relationship Id="rId247" Type="http://schemas.openxmlformats.org/officeDocument/2006/relationships/hyperlink" Target="https://www.chittorgarh.com/ipo/anand-rathi-ipo/1186/" TargetMode="External"/><Relationship Id="rId107" Type="http://schemas.openxmlformats.org/officeDocument/2006/relationships/hyperlink" Target="https://www.chittorgarh.com/ipo/psp-projects-ipo/660/" TargetMode="External"/><Relationship Id="rId289" Type="http://schemas.openxmlformats.org/officeDocument/2006/relationships/hyperlink" Target="https://www.chittorgarh.com/ipo/rainbow-children-medicare-ipo/1250/" TargetMode="External"/><Relationship Id="rId11" Type="http://schemas.openxmlformats.org/officeDocument/2006/relationships/hyperlink" Target="https://www.chittorgarh.com/ipo/kalyan-jewellers-ipo/1098/" TargetMode="External"/><Relationship Id="rId53" Type="http://schemas.openxmlformats.org/officeDocument/2006/relationships/hyperlink" Target="https://www.chittorgarh.com/ipo/chalet-hotels-ipo/917/" TargetMode="External"/><Relationship Id="rId149" Type="http://schemas.openxmlformats.org/officeDocument/2006/relationships/hyperlink" Target="https://www.chittorgarh.com/ipo/shree_pushkar_chemicals_ipo/493/" TargetMode="External"/><Relationship Id="rId95" Type="http://schemas.openxmlformats.org/officeDocument/2006/relationships/hyperlink" Target="https://www.chittorgarh.com/ipo/matrimony-ipo/710/" TargetMode="External"/><Relationship Id="rId160" Type="http://schemas.openxmlformats.org/officeDocument/2006/relationships/hyperlink" Target="https://www.chittorgarh.com/ipo/adlabs_entertainment_ipo/456/" TargetMode="External"/><Relationship Id="rId216" Type="http://schemas.openxmlformats.org/officeDocument/2006/relationships/hyperlink" Target="https://www.chittorgarh.com/ipo/midvalley_entertainment_ipo/291/" TargetMode="External"/><Relationship Id="rId258" Type="http://schemas.openxmlformats.org/officeDocument/2006/relationships/hyperlink" Target="https://www.chittorgarh.com/ipo/radiant-cash-management-ipo/1355/" TargetMode="External"/><Relationship Id="rId22" Type="http://schemas.openxmlformats.org/officeDocument/2006/relationships/hyperlink" Target="https://www.chittorgarh.com/ipo/indigo-paints-ipo/1079/" TargetMode="External"/><Relationship Id="rId64" Type="http://schemas.openxmlformats.org/officeDocument/2006/relationships/hyperlink" Target="https://www.chittorgarh.com/ipo/indostar-capital-finance-ipo/866/" TargetMode="External"/><Relationship Id="rId118" Type="http://schemas.openxmlformats.org/officeDocument/2006/relationships/hyperlink" Target="https://www.chittorgarh.com/ipo/varun-beverages-ipo/598/" TargetMode="External"/><Relationship Id="rId171" Type="http://schemas.openxmlformats.org/officeDocument/2006/relationships/hyperlink" Target="https://www.chittorgarh.com/ipo/pc_jeweller_ipo/359/" TargetMode="External"/><Relationship Id="rId227" Type="http://schemas.openxmlformats.org/officeDocument/2006/relationships/hyperlink" Target="https://www.chittorgarh.com/ipo/nuvoco-ipo/1133/" TargetMode="External"/><Relationship Id="rId269" Type="http://schemas.openxmlformats.org/officeDocument/2006/relationships/hyperlink" Target="https://www.chittorgarh.com/ipo/archean-chemical-ipo/13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E6A0-CF58-41A9-9577-BEB71836B32A}">
  <dimension ref="A1:X298"/>
  <sheetViews>
    <sheetView tabSelected="1" topLeftCell="C1" zoomScale="90" zoomScaleNormal="90" workbookViewId="0">
      <selection activeCell="Q201" sqref="Q201"/>
    </sheetView>
  </sheetViews>
  <sheetFormatPr defaultRowHeight="14.5" x14ac:dyDescent="0.35"/>
  <cols>
    <col min="2" max="2" width="44.90625" bestFit="1" customWidth="1"/>
    <col min="4" max="4" width="22.81640625" bestFit="1" customWidth="1"/>
    <col min="11" max="11" width="13.453125" bestFit="1" customWidth="1"/>
    <col min="12" max="12" width="10.26953125" bestFit="1" customWidth="1"/>
    <col min="14" max="14" width="9.81640625" bestFit="1" customWidth="1"/>
  </cols>
  <sheetData>
    <row r="1" spans="1:24" ht="116" x14ac:dyDescent="0.35">
      <c r="A1" s="1" t="s">
        <v>0</v>
      </c>
      <c r="B1" s="1" t="s">
        <v>1</v>
      </c>
      <c r="C1" s="1" t="s">
        <v>2</v>
      </c>
      <c r="D1" s="2" t="s">
        <v>3</v>
      </c>
      <c r="E1" s="3" t="s">
        <v>4</v>
      </c>
      <c r="F1" s="4" t="s">
        <v>5</v>
      </c>
      <c r="G1" s="5" t="s">
        <v>6</v>
      </c>
      <c r="H1" s="5" t="s">
        <v>7</v>
      </c>
      <c r="I1" s="5" t="s">
        <v>8</v>
      </c>
      <c r="J1" s="4" t="s">
        <v>9</v>
      </c>
      <c r="K1" s="6" t="s">
        <v>10</v>
      </c>
      <c r="L1" s="7" t="s">
        <v>11</v>
      </c>
      <c r="M1" s="7" t="s">
        <v>12</v>
      </c>
      <c r="N1" s="8" t="s">
        <v>13</v>
      </c>
      <c r="O1" s="8" t="s">
        <v>14</v>
      </c>
      <c r="P1" s="9" t="s">
        <v>15</v>
      </c>
      <c r="Q1" s="9" t="s">
        <v>16</v>
      </c>
      <c r="R1" s="9" t="s">
        <v>17</v>
      </c>
      <c r="S1" s="9" t="s">
        <v>18</v>
      </c>
      <c r="T1" s="9" t="s">
        <v>19</v>
      </c>
      <c r="U1" s="9" t="s">
        <v>20</v>
      </c>
      <c r="V1" s="10" t="s">
        <v>21</v>
      </c>
      <c r="W1" s="2" t="s">
        <v>22</v>
      </c>
      <c r="X1" s="11" t="s">
        <v>23</v>
      </c>
    </row>
    <row r="2" spans="1:24" ht="15.5" x14ac:dyDescent="0.35">
      <c r="A2" s="12">
        <v>1</v>
      </c>
      <c r="B2" s="13" t="s">
        <v>24</v>
      </c>
      <c r="C2" s="12">
        <v>2022</v>
      </c>
      <c r="D2" s="14" t="s">
        <v>25</v>
      </c>
      <c r="E2" s="12">
        <v>65</v>
      </c>
      <c r="F2" s="15">
        <v>66.3</v>
      </c>
      <c r="G2" s="16">
        <v>30</v>
      </c>
      <c r="H2" s="17">
        <v>8</v>
      </c>
      <c r="I2" s="18">
        <v>0.91790000000000005</v>
      </c>
      <c r="J2" s="19">
        <v>17.46</v>
      </c>
      <c r="K2" s="20">
        <f t="shared" ref="K2:K45" si="0">(F2*10000000)/E2</f>
        <v>10200000</v>
      </c>
      <c r="L2" s="12">
        <v>740</v>
      </c>
      <c r="M2" s="12">
        <v>40.200000000000003</v>
      </c>
      <c r="N2" s="16">
        <v>619.79999999999995</v>
      </c>
      <c r="O2" s="21">
        <v>0.97</v>
      </c>
      <c r="P2" s="12">
        <v>5.84</v>
      </c>
      <c r="Q2" s="15">
        <v>6.1</v>
      </c>
      <c r="R2" s="16">
        <v>6.25</v>
      </c>
      <c r="S2" s="22">
        <v>4.2</v>
      </c>
      <c r="T2" s="23">
        <v>-0.20954754494096348</v>
      </c>
      <c r="U2" s="24">
        <v>82.905199999999994</v>
      </c>
      <c r="V2" s="25">
        <v>15.1975</v>
      </c>
      <c r="W2" s="26">
        <v>37.307692307692307</v>
      </c>
      <c r="X2" s="52">
        <v>80</v>
      </c>
    </row>
    <row r="3" spans="1:24" ht="15.5" x14ac:dyDescent="0.35">
      <c r="A3" s="12">
        <v>2</v>
      </c>
      <c r="B3" s="13" t="s">
        <v>26</v>
      </c>
      <c r="C3" s="12">
        <v>2022</v>
      </c>
      <c r="D3" s="14" t="s">
        <v>27</v>
      </c>
      <c r="E3" s="12">
        <v>94</v>
      </c>
      <c r="F3" s="15">
        <v>256.64</v>
      </c>
      <c r="G3" s="16">
        <v>17</v>
      </c>
      <c r="H3" s="17">
        <v>8</v>
      </c>
      <c r="I3" s="18">
        <v>0.66390000000000005</v>
      </c>
      <c r="J3" s="19">
        <v>0.53</v>
      </c>
      <c r="K3" s="20">
        <f t="shared" si="0"/>
        <v>27302127.659574468</v>
      </c>
      <c r="L3" s="12">
        <v>2860.4</v>
      </c>
      <c r="M3" s="28">
        <v>382.1</v>
      </c>
      <c r="N3" s="16">
        <v>1931</v>
      </c>
      <c r="O3" s="21">
        <v>0.16</v>
      </c>
      <c r="P3" s="12">
        <v>5.84</v>
      </c>
      <c r="Q3" s="15">
        <v>6.1</v>
      </c>
      <c r="R3" s="16">
        <v>6.25</v>
      </c>
      <c r="S3" s="22">
        <v>4.82</v>
      </c>
      <c r="T3" s="23">
        <v>-1.0398984234240332</v>
      </c>
      <c r="U3" s="24">
        <v>82.793599999999998</v>
      </c>
      <c r="V3" s="25">
        <v>15.29</v>
      </c>
      <c r="W3" s="26">
        <v>11.59574468085107</v>
      </c>
      <c r="X3" s="52">
        <v>-15.06</v>
      </c>
    </row>
    <row r="4" spans="1:24" ht="15.5" x14ac:dyDescent="0.35">
      <c r="A4" s="12">
        <v>3</v>
      </c>
      <c r="B4" s="13" t="s">
        <v>28</v>
      </c>
      <c r="C4" s="12">
        <v>2022</v>
      </c>
      <c r="D4" s="14" t="s">
        <v>29</v>
      </c>
      <c r="E4" s="12">
        <v>247</v>
      </c>
      <c r="F4" s="15">
        <v>475</v>
      </c>
      <c r="G4" s="16">
        <v>53</v>
      </c>
      <c r="H4" s="17">
        <v>8</v>
      </c>
      <c r="I4" s="18">
        <v>0.53979999999999995</v>
      </c>
      <c r="J4" s="19">
        <v>3.09</v>
      </c>
      <c r="K4" s="20">
        <f t="shared" si="0"/>
        <v>19230769.230769232</v>
      </c>
      <c r="L4" s="12">
        <v>8916.5</v>
      </c>
      <c r="M4" s="12">
        <v>318.3</v>
      </c>
      <c r="N4" s="16">
        <v>4289.5</v>
      </c>
      <c r="O4" s="21">
        <v>0.42</v>
      </c>
      <c r="P4" s="12">
        <v>5.84</v>
      </c>
      <c r="Q4" s="15">
        <v>5.4</v>
      </c>
      <c r="R4" s="16">
        <v>6.25</v>
      </c>
      <c r="S4" s="22">
        <v>4.82</v>
      </c>
      <c r="T4" s="23">
        <v>-0.47111208839536439</v>
      </c>
      <c r="U4" s="24">
        <v>82.667900000000003</v>
      </c>
      <c r="V4" s="25">
        <v>15.1875</v>
      </c>
      <c r="W4" s="26">
        <v>-7.8340080971659898</v>
      </c>
      <c r="X4" s="52">
        <v>-35.049999999999997</v>
      </c>
    </row>
    <row r="5" spans="1:24" ht="15.5" x14ac:dyDescent="0.35">
      <c r="A5" s="12">
        <v>4</v>
      </c>
      <c r="B5" s="13" t="s">
        <v>30</v>
      </c>
      <c r="C5" s="12">
        <v>2022</v>
      </c>
      <c r="D5" s="14" t="s">
        <v>29</v>
      </c>
      <c r="E5" s="12">
        <v>366</v>
      </c>
      <c r="F5" s="15">
        <v>1500</v>
      </c>
      <c r="G5" s="16">
        <v>5</v>
      </c>
      <c r="H5" s="17">
        <v>8</v>
      </c>
      <c r="I5" s="18">
        <v>0.49909999999999999</v>
      </c>
      <c r="J5" s="19">
        <v>2.59</v>
      </c>
      <c r="K5" s="20">
        <f t="shared" si="0"/>
        <v>40983606.557377048</v>
      </c>
      <c r="L5" s="12">
        <v>6017.3</v>
      </c>
      <c r="M5" s="12">
        <v>1530.1</v>
      </c>
      <c r="N5" s="16">
        <v>12352.3</v>
      </c>
      <c r="O5" s="21">
        <v>0.34</v>
      </c>
      <c r="P5" s="12">
        <v>5.84</v>
      </c>
      <c r="Q5" s="15">
        <v>5.4</v>
      </c>
      <c r="R5" s="16">
        <v>6.25</v>
      </c>
      <c r="S5" s="22">
        <v>4.82</v>
      </c>
      <c r="T5" s="23">
        <v>0.37798317009242655</v>
      </c>
      <c r="U5" s="24">
        <v>82.773600000000002</v>
      </c>
      <c r="V5" s="25">
        <v>15.5625</v>
      </c>
      <c r="W5" s="26">
        <v>-0.58743169398906481</v>
      </c>
      <c r="X5" s="52">
        <v>35.56</v>
      </c>
    </row>
    <row r="6" spans="1:24" ht="15.5" x14ac:dyDescent="0.35">
      <c r="A6" s="12">
        <v>5</v>
      </c>
      <c r="B6" s="13" t="s">
        <v>31</v>
      </c>
      <c r="C6" s="12">
        <v>2022</v>
      </c>
      <c r="D6" s="14" t="s">
        <v>32</v>
      </c>
      <c r="E6" s="12">
        <v>270</v>
      </c>
      <c r="F6" s="15">
        <v>345.6</v>
      </c>
      <c r="G6" s="16">
        <v>13</v>
      </c>
      <c r="H6" s="17">
        <v>8</v>
      </c>
      <c r="I6" s="18">
        <v>0.7248</v>
      </c>
      <c r="J6" s="19">
        <v>1.1000000000000001</v>
      </c>
      <c r="K6" s="20">
        <f t="shared" si="0"/>
        <v>12800000</v>
      </c>
      <c r="L6" s="12">
        <v>3.6</v>
      </c>
      <c r="M6" s="12">
        <v>1.8</v>
      </c>
      <c r="N6" s="16">
        <v>194.1</v>
      </c>
      <c r="O6" s="21">
        <v>0.91</v>
      </c>
      <c r="P6" s="12">
        <v>5.84</v>
      </c>
      <c r="Q6" s="15">
        <v>5.4</v>
      </c>
      <c r="R6" s="16">
        <v>6.25</v>
      </c>
      <c r="S6" s="22">
        <v>4.82</v>
      </c>
      <c r="T6" s="23">
        <v>-1.7683224519855318</v>
      </c>
      <c r="U6" s="24">
        <v>82.482200000000006</v>
      </c>
      <c r="V6" s="25">
        <v>13.7325</v>
      </c>
      <c r="W6" s="26">
        <v>-19.111111111111111</v>
      </c>
      <c r="X6" s="52">
        <v>43.59</v>
      </c>
    </row>
    <row r="7" spans="1:24" ht="15.5" x14ac:dyDescent="0.35">
      <c r="A7" s="12">
        <v>6</v>
      </c>
      <c r="B7" s="13" t="s">
        <v>33</v>
      </c>
      <c r="C7" s="12">
        <v>2022</v>
      </c>
      <c r="D7" s="14" t="s">
        <v>34</v>
      </c>
      <c r="E7" s="12">
        <v>506</v>
      </c>
      <c r="F7" s="15">
        <v>552</v>
      </c>
      <c r="G7" s="16">
        <v>24</v>
      </c>
      <c r="H7" s="17">
        <v>8</v>
      </c>
      <c r="I7" s="18">
        <v>0.88290000000000002</v>
      </c>
      <c r="J7" s="19">
        <v>3.06</v>
      </c>
      <c r="K7" s="20">
        <f t="shared" si="0"/>
        <v>10909090.909090908</v>
      </c>
      <c r="L7" s="12">
        <v>6756.1</v>
      </c>
      <c r="M7" s="12">
        <v>349.9</v>
      </c>
      <c r="N7" s="16">
        <v>5411.7</v>
      </c>
      <c r="O7" s="21">
        <v>0.31</v>
      </c>
      <c r="P7" s="12">
        <v>5.84</v>
      </c>
      <c r="Q7" s="15">
        <v>5.4</v>
      </c>
      <c r="R7" s="16">
        <v>6.25</v>
      </c>
      <c r="S7" s="22">
        <v>4.82</v>
      </c>
      <c r="T7" s="23">
        <v>-1.7683224519855318</v>
      </c>
      <c r="U7" s="24">
        <v>82.482200000000006</v>
      </c>
      <c r="V7" s="25">
        <v>13.7325</v>
      </c>
      <c r="W7" s="26">
        <v>-9.4071146245059332</v>
      </c>
      <c r="X7" s="52">
        <v>76.989999999999995</v>
      </c>
    </row>
    <row r="8" spans="1:24" ht="15.5" x14ac:dyDescent="0.35">
      <c r="A8" s="12">
        <v>7</v>
      </c>
      <c r="B8" s="13" t="s">
        <v>35</v>
      </c>
      <c r="C8" s="12">
        <v>2022</v>
      </c>
      <c r="D8" s="14" t="s">
        <v>36</v>
      </c>
      <c r="E8" s="12">
        <v>357</v>
      </c>
      <c r="F8" s="15">
        <v>960.35</v>
      </c>
      <c r="G8" s="16">
        <v>19</v>
      </c>
      <c r="H8" s="17">
        <v>8</v>
      </c>
      <c r="I8" s="18">
        <v>0.28439999999999999</v>
      </c>
      <c r="J8" s="19">
        <v>2.33</v>
      </c>
      <c r="K8" s="20">
        <f t="shared" si="0"/>
        <v>26900560.224089637</v>
      </c>
      <c r="L8" s="12">
        <v>4179.2</v>
      </c>
      <c r="M8" s="12">
        <v>488.6</v>
      </c>
      <c r="N8" s="16">
        <v>7747.4</v>
      </c>
      <c r="O8" s="21">
        <v>0.72</v>
      </c>
      <c r="P8" s="12">
        <v>5.84</v>
      </c>
      <c r="Q8" s="15">
        <v>5.4</v>
      </c>
      <c r="R8" s="16">
        <v>6.25</v>
      </c>
      <c r="S8" s="22">
        <v>4.82</v>
      </c>
      <c r="T8" s="23">
        <v>-0.3942502651230006</v>
      </c>
      <c r="U8" s="24">
        <v>82.516999999999996</v>
      </c>
      <c r="V8" s="25">
        <v>12.885</v>
      </c>
      <c r="W8" s="26">
        <v>-7.2408963585434236</v>
      </c>
      <c r="X8" s="52">
        <v>42.02</v>
      </c>
    </row>
    <row r="9" spans="1:24" ht="15.5" x14ac:dyDescent="0.35">
      <c r="A9" s="12">
        <v>8</v>
      </c>
      <c r="B9" s="13" t="s">
        <v>37</v>
      </c>
      <c r="C9" s="12">
        <v>2022</v>
      </c>
      <c r="D9" s="14" t="s">
        <v>27</v>
      </c>
      <c r="E9" s="12">
        <v>577</v>
      </c>
      <c r="F9" s="15">
        <v>835.61</v>
      </c>
      <c r="G9" s="16">
        <v>28</v>
      </c>
      <c r="H9" s="17">
        <v>10</v>
      </c>
      <c r="I9" s="18">
        <v>0.75539999999999996</v>
      </c>
      <c r="J9" s="19">
        <v>25.32</v>
      </c>
      <c r="K9" s="20">
        <f t="shared" si="0"/>
        <v>14481975.736568458</v>
      </c>
      <c r="L9" s="16">
        <v>8828.7999999999993</v>
      </c>
      <c r="M9" s="16">
        <v>1212.5999999999999</v>
      </c>
      <c r="N9" s="16">
        <v>6261.2</v>
      </c>
      <c r="O9" s="21">
        <v>0.28999999999999998</v>
      </c>
      <c r="P9" s="12">
        <v>5.84</v>
      </c>
      <c r="Q9" s="15">
        <v>5.4</v>
      </c>
      <c r="R9" s="16">
        <v>6.25</v>
      </c>
      <c r="S9" s="22">
        <v>4.82</v>
      </c>
      <c r="T9" s="23">
        <v>2.9735194576457858E-3</v>
      </c>
      <c r="U9" s="24">
        <v>81.177099999999996</v>
      </c>
      <c r="V9" s="25">
        <v>13.45</v>
      </c>
      <c r="W9" s="26">
        <v>-6.473136915077994</v>
      </c>
      <c r="X9" s="52">
        <v>3.16</v>
      </c>
    </row>
    <row r="10" spans="1:24" ht="15.5" x14ac:dyDescent="0.35">
      <c r="A10" s="12">
        <v>9</v>
      </c>
      <c r="B10" s="13" t="s">
        <v>38</v>
      </c>
      <c r="C10" s="12">
        <v>2022</v>
      </c>
      <c r="D10" s="14" t="s">
        <v>25</v>
      </c>
      <c r="E10" s="12">
        <v>237</v>
      </c>
      <c r="F10" s="15">
        <v>251.15</v>
      </c>
      <c r="G10" s="16">
        <v>7</v>
      </c>
      <c r="H10" s="17">
        <v>8</v>
      </c>
      <c r="I10" s="30">
        <v>1</v>
      </c>
      <c r="J10" s="19">
        <v>35.49</v>
      </c>
      <c r="K10" s="20">
        <f t="shared" si="0"/>
        <v>10597046.41350211</v>
      </c>
      <c r="L10" s="16">
        <v>3925</v>
      </c>
      <c r="M10" s="16">
        <v>286.89999999999998</v>
      </c>
      <c r="N10" s="16">
        <v>2195.5</v>
      </c>
      <c r="O10" s="21">
        <v>0.45</v>
      </c>
      <c r="P10" s="12">
        <v>5.84</v>
      </c>
      <c r="Q10" s="15">
        <v>5.4</v>
      </c>
      <c r="R10" s="16">
        <v>6.25</v>
      </c>
      <c r="S10" s="22">
        <v>4.82</v>
      </c>
      <c r="T10" s="23">
        <v>0.26319334069663286</v>
      </c>
      <c r="U10" s="24">
        <v>81.596999999999994</v>
      </c>
      <c r="V10" s="25">
        <v>13.807499999999999</v>
      </c>
      <c r="W10" s="26">
        <v>12.362869198312241</v>
      </c>
      <c r="X10" s="52">
        <v>-4.1900000000000004</v>
      </c>
    </row>
    <row r="11" spans="1:24" ht="15.5" x14ac:dyDescent="0.35">
      <c r="A11" s="12">
        <v>10</v>
      </c>
      <c r="B11" s="13" t="s">
        <v>39</v>
      </c>
      <c r="C11" s="12">
        <v>2022</v>
      </c>
      <c r="D11" s="14" t="s">
        <v>40</v>
      </c>
      <c r="E11" s="12">
        <v>541</v>
      </c>
      <c r="F11" s="15">
        <v>635</v>
      </c>
      <c r="G11" s="16">
        <v>27</v>
      </c>
      <c r="H11" s="17">
        <v>8</v>
      </c>
      <c r="I11" s="18">
        <v>0.96009999999999995</v>
      </c>
      <c r="J11" s="19">
        <v>2.0099999999999998</v>
      </c>
      <c r="K11" s="20">
        <f t="shared" si="0"/>
        <v>11737523.105360443</v>
      </c>
      <c r="L11" s="16">
        <v>8522.1</v>
      </c>
      <c r="M11" s="16">
        <v>1200.5999999999999</v>
      </c>
      <c r="N11" s="16">
        <v>26051.599999999999</v>
      </c>
      <c r="O11" s="21">
        <v>1.19</v>
      </c>
      <c r="P11" s="12">
        <v>5.84</v>
      </c>
      <c r="Q11" s="15">
        <v>5.4</v>
      </c>
      <c r="R11" s="16">
        <v>5.9</v>
      </c>
      <c r="S11" s="22">
        <v>4.82</v>
      </c>
      <c r="T11" s="23">
        <v>1.1870971273727493</v>
      </c>
      <c r="U11" s="24">
        <v>81.335400000000007</v>
      </c>
      <c r="V11" s="25">
        <v>15.1</v>
      </c>
      <c r="W11" s="26">
        <v>2.9297597042513903</v>
      </c>
      <c r="X11" s="52">
        <v>-3.08</v>
      </c>
    </row>
    <row r="12" spans="1:24" ht="15.5" x14ac:dyDescent="0.35">
      <c r="A12" s="12">
        <v>11</v>
      </c>
      <c r="B12" s="13" t="s">
        <v>41</v>
      </c>
      <c r="C12" s="12">
        <v>2022</v>
      </c>
      <c r="D12" s="14" t="s">
        <v>42</v>
      </c>
      <c r="E12" s="12">
        <v>65</v>
      </c>
      <c r="F12" s="15">
        <v>740</v>
      </c>
      <c r="G12" s="16">
        <v>10</v>
      </c>
      <c r="H12" s="17">
        <v>8</v>
      </c>
      <c r="I12" s="18">
        <v>0.93840000000000001</v>
      </c>
      <c r="J12" s="12">
        <v>1.55</v>
      </c>
      <c r="K12" s="20">
        <f t="shared" si="0"/>
        <v>113846153.84615384</v>
      </c>
      <c r="L12" s="16">
        <v>1739.9</v>
      </c>
      <c r="M12" s="16">
        <v>-570.4</v>
      </c>
      <c r="N12" s="16">
        <v>24022.9</v>
      </c>
      <c r="O12" s="21">
        <v>1.89</v>
      </c>
      <c r="P12" s="12">
        <v>5.84</v>
      </c>
      <c r="Q12" s="15">
        <v>5.4</v>
      </c>
      <c r="R12" s="16">
        <v>5.9</v>
      </c>
      <c r="S12" s="22">
        <v>4.82</v>
      </c>
      <c r="T12" s="23">
        <v>0.12634152223720016</v>
      </c>
      <c r="U12" s="24">
        <v>81.427999999999997</v>
      </c>
      <c r="V12" s="25">
        <v>14.635</v>
      </c>
      <c r="W12" s="26">
        <v>-9.0769230769230749</v>
      </c>
      <c r="X12" s="52">
        <v>17.010000000000002</v>
      </c>
    </row>
    <row r="13" spans="1:24" ht="15.5" x14ac:dyDescent="0.35">
      <c r="A13" s="12">
        <v>12</v>
      </c>
      <c r="B13" s="13" t="s">
        <v>43</v>
      </c>
      <c r="C13" s="12">
        <v>2022</v>
      </c>
      <c r="D13" s="14" t="s">
        <v>29</v>
      </c>
      <c r="E13" s="12">
        <v>587</v>
      </c>
      <c r="F13" s="15">
        <v>857.82</v>
      </c>
      <c r="G13" s="16">
        <v>14</v>
      </c>
      <c r="H13" s="17">
        <v>8</v>
      </c>
      <c r="I13" s="18">
        <v>0.79779999999999995</v>
      </c>
      <c r="J13" s="19">
        <v>34.159999999999997</v>
      </c>
      <c r="K13" s="20">
        <f t="shared" si="0"/>
        <v>14613628.620102216</v>
      </c>
      <c r="L13" s="16">
        <v>6714.3</v>
      </c>
      <c r="M13" s="16">
        <v>409.9</v>
      </c>
      <c r="N13" s="16">
        <v>6136</v>
      </c>
      <c r="O13" s="21">
        <v>0.94</v>
      </c>
      <c r="P13" s="12">
        <v>5.84</v>
      </c>
      <c r="Q13" s="15">
        <v>5.4</v>
      </c>
      <c r="R13" s="16">
        <v>5.9</v>
      </c>
      <c r="S13" s="22">
        <v>4.82</v>
      </c>
      <c r="T13" s="23">
        <v>0.46393299541022964</v>
      </c>
      <c r="U13" s="24">
        <v>81.233199999999997</v>
      </c>
      <c r="V13" s="25">
        <v>14.91</v>
      </c>
      <c r="W13" s="26">
        <v>17.538330494037485</v>
      </c>
      <c r="X13" s="52">
        <v>258.45999999999998</v>
      </c>
    </row>
    <row r="14" spans="1:24" ht="15.5" x14ac:dyDescent="0.35">
      <c r="A14" s="12">
        <v>13</v>
      </c>
      <c r="B14" s="13" t="s">
        <v>44</v>
      </c>
      <c r="C14" s="12">
        <v>2022</v>
      </c>
      <c r="D14" s="14" t="s">
        <v>25</v>
      </c>
      <c r="E14" s="12">
        <v>407</v>
      </c>
      <c r="F14" s="15">
        <v>1462.31</v>
      </c>
      <c r="G14" s="16">
        <v>13</v>
      </c>
      <c r="H14" s="17">
        <v>10</v>
      </c>
      <c r="I14" s="18">
        <v>0.65580000000000005</v>
      </c>
      <c r="J14" s="19">
        <v>32.229999999999997</v>
      </c>
      <c r="K14" s="20">
        <f t="shared" si="0"/>
        <v>35928992.628992632</v>
      </c>
      <c r="L14" s="16">
        <v>11304.3</v>
      </c>
      <c r="M14" s="16">
        <v>1886.1</v>
      </c>
      <c r="N14" s="16">
        <v>16589.7</v>
      </c>
      <c r="O14" s="21">
        <v>5.35</v>
      </c>
      <c r="P14" s="12">
        <v>5.84</v>
      </c>
      <c r="Q14" s="15">
        <v>5.4</v>
      </c>
      <c r="R14" s="16">
        <v>5.9</v>
      </c>
      <c r="S14" s="22">
        <v>4.82</v>
      </c>
      <c r="T14" s="23">
        <v>-0.80676657025888476</v>
      </c>
      <c r="U14" s="24">
        <v>80.648300000000006</v>
      </c>
      <c r="V14" s="25">
        <v>14.404999999999999</v>
      </c>
      <c r="W14" s="26">
        <v>12.567567567567561</v>
      </c>
      <c r="X14" s="52">
        <v>14.58</v>
      </c>
    </row>
    <row r="15" spans="1:24" ht="15.5" x14ac:dyDescent="0.35">
      <c r="A15" s="12">
        <v>14</v>
      </c>
      <c r="B15" s="13" t="s">
        <v>45</v>
      </c>
      <c r="C15" s="12">
        <v>2022</v>
      </c>
      <c r="D15" s="14" t="s">
        <v>32</v>
      </c>
      <c r="E15" s="12">
        <v>474</v>
      </c>
      <c r="F15" s="15">
        <v>1593.45</v>
      </c>
      <c r="G15" s="16">
        <v>38</v>
      </c>
      <c r="H15" s="17">
        <v>10</v>
      </c>
      <c r="I15" s="18">
        <v>0.4007</v>
      </c>
      <c r="J15" s="19">
        <v>0.7</v>
      </c>
      <c r="K15" s="20">
        <f t="shared" si="0"/>
        <v>33617088.607594937</v>
      </c>
      <c r="L15" s="16">
        <v>256.2</v>
      </c>
      <c r="M15" s="16">
        <v>4535.3999999999996</v>
      </c>
      <c r="N15" s="16">
        <v>64628.1</v>
      </c>
      <c r="O15" s="21">
        <v>0.99</v>
      </c>
      <c r="P15" s="12">
        <v>5.84</v>
      </c>
      <c r="Q15" s="15">
        <v>5.4</v>
      </c>
      <c r="R15" s="16">
        <v>5.9</v>
      </c>
      <c r="S15" s="22">
        <v>4.82</v>
      </c>
      <c r="T15" s="23">
        <v>-0.80676657025888476</v>
      </c>
      <c r="U15" s="24">
        <v>80.648300000000006</v>
      </c>
      <c r="V15" s="25">
        <v>14.404999999999999</v>
      </c>
      <c r="W15" s="26">
        <v>3.3755274261603372</v>
      </c>
      <c r="X15" s="52">
        <v>61.85</v>
      </c>
    </row>
    <row r="16" spans="1:24" ht="15.5" x14ac:dyDescent="0.35">
      <c r="A16" s="12">
        <v>15</v>
      </c>
      <c r="B16" s="13" t="s">
        <v>46</v>
      </c>
      <c r="C16" s="12">
        <v>2022</v>
      </c>
      <c r="D16" s="14" t="s">
        <v>36</v>
      </c>
      <c r="E16" s="12">
        <v>300</v>
      </c>
      <c r="F16" s="15">
        <v>881.22</v>
      </c>
      <c r="G16" s="16">
        <v>27</v>
      </c>
      <c r="H16" s="17">
        <v>9</v>
      </c>
      <c r="I16" s="18">
        <v>0.77969999999999995</v>
      </c>
      <c r="J16" s="19">
        <v>26.67</v>
      </c>
      <c r="K16" s="20">
        <f t="shared" si="0"/>
        <v>29374000</v>
      </c>
      <c r="L16" s="16">
        <v>15987</v>
      </c>
      <c r="M16" s="16">
        <v>799.6</v>
      </c>
      <c r="N16" s="16">
        <v>12113.1</v>
      </c>
      <c r="O16" s="21">
        <v>0.16</v>
      </c>
      <c r="P16" s="12">
        <v>5.84</v>
      </c>
      <c r="Q16" s="15">
        <v>5.4</v>
      </c>
      <c r="R16" s="16">
        <v>5.9</v>
      </c>
      <c r="S16" s="22">
        <v>4.82</v>
      </c>
      <c r="T16" s="23">
        <v>3.3961115880761159E-2</v>
      </c>
      <c r="U16" s="24">
        <v>82.211200000000005</v>
      </c>
      <c r="V16" s="25">
        <v>15.585000000000001</v>
      </c>
      <c r="W16" s="26">
        <v>5.8166666666666629</v>
      </c>
      <c r="X16" s="52">
        <v>73.08</v>
      </c>
    </row>
    <row r="17" spans="1:24" ht="15.5" x14ac:dyDescent="0.35">
      <c r="A17" s="12">
        <v>16</v>
      </c>
      <c r="B17" s="13" t="s">
        <v>47</v>
      </c>
      <c r="C17" s="12">
        <v>2022</v>
      </c>
      <c r="D17" s="14" t="s">
        <v>48</v>
      </c>
      <c r="E17" s="12">
        <v>336</v>
      </c>
      <c r="F17" s="15">
        <v>2205.5700000000002</v>
      </c>
      <c r="G17" s="16">
        <v>18</v>
      </c>
      <c r="H17" s="17">
        <v>9</v>
      </c>
      <c r="I17" s="18">
        <v>0.3503</v>
      </c>
      <c r="J17" s="19">
        <v>9.58</v>
      </c>
      <c r="K17" s="20">
        <f t="shared" si="0"/>
        <v>65641964.285714284</v>
      </c>
      <c r="L17" s="16">
        <v>17595.5</v>
      </c>
      <c r="M17" s="16">
        <v>2187.8000000000002</v>
      </c>
      <c r="N17" s="16">
        <v>29772.2</v>
      </c>
      <c r="O17" s="21">
        <v>0.17</v>
      </c>
      <c r="P17" s="12">
        <v>5.84</v>
      </c>
      <c r="Q17" s="15">
        <v>5.4</v>
      </c>
      <c r="R17" s="16">
        <v>5.9</v>
      </c>
      <c r="S17" s="22">
        <v>4.82</v>
      </c>
      <c r="T17" s="23">
        <v>3.3961115880761159E-2</v>
      </c>
      <c r="U17" s="24">
        <v>82.211200000000005</v>
      </c>
      <c r="V17" s="25">
        <v>15.585000000000001</v>
      </c>
      <c r="W17" s="26">
        <v>23.601190476190478</v>
      </c>
      <c r="X17" s="52">
        <v>115.06</v>
      </c>
    </row>
    <row r="18" spans="1:24" ht="15.5" x14ac:dyDescent="0.35">
      <c r="A18" s="12">
        <v>17</v>
      </c>
      <c r="B18" s="13" t="s">
        <v>49</v>
      </c>
      <c r="C18" s="12">
        <v>2022</v>
      </c>
      <c r="D18" s="14" t="s">
        <v>32</v>
      </c>
      <c r="E18" s="12">
        <v>368</v>
      </c>
      <c r="F18" s="15">
        <v>1103.99</v>
      </c>
      <c r="G18" s="16">
        <v>28</v>
      </c>
      <c r="H18" s="17">
        <v>11</v>
      </c>
      <c r="I18" s="18">
        <v>0.85570000000000002</v>
      </c>
      <c r="J18" s="19">
        <v>2.95</v>
      </c>
      <c r="K18" s="20">
        <f t="shared" si="0"/>
        <v>29999728.260869566</v>
      </c>
      <c r="L18" s="16">
        <v>426.9</v>
      </c>
      <c r="M18" s="16">
        <v>217.6</v>
      </c>
      <c r="N18" s="16">
        <v>76749.600000000006</v>
      </c>
      <c r="O18" s="21">
        <v>3.95</v>
      </c>
      <c r="P18" s="12">
        <v>5.84</v>
      </c>
      <c r="Q18" s="15">
        <v>5.4</v>
      </c>
      <c r="R18" s="16">
        <v>5.9</v>
      </c>
      <c r="S18" s="22">
        <v>4.82</v>
      </c>
      <c r="T18" s="23">
        <v>0.40509243472828793</v>
      </c>
      <c r="U18" s="24">
        <v>82.528700000000001</v>
      </c>
      <c r="V18" s="25">
        <v>15.654999999999999</v>
      </c>
      <c r="W18" s="26">
        <v>-11.739130434782606</v>
      </c>
      <c r="X18" s="52">
        <v>78.510000000000005</v>
      </c>
    </row>
    <row r="19" spans="1:24" ht="15.5" x14ac:dyDescent="0.35">
      <c r="A19" s="12">
        <v>18</v>
      </c>
      <c r="B19" s="13" t="s">
        <v>50</v>
      </c>
      <c r="C19" s="12">
        <v>2022</v>
      </c>
      <c r="D19" s="14" t="s">
        <v>27</v>
      </c>
      <c r="E19" s="12">
        <v>207</v>
      </c>
      <c r="F19" s="15">
        <v>500</v>
      </c>
      <c r="G19" s="16">
        <v>11</v>
      </c>
      <c r="H19" s="17">
        <v>9</v>
      </c>
      <c r="I19" s="18">
        <v>0.98199999999999998</v>
      </c>
      <c r="J19" s="19">
        <v>69.790000000000006</v>
      </c>
      <c r="K19" s="20">
        <f t="shared" si="0"/>
        <v>24154589.371980675</v>
      </c>
      <c r="L19" s="31">
        <v>11020</v>
      </c>
      <c r="M19" s="31">
        <v>660</v>
      </c>
      <c r="N19" s="32">
        <v>6210</v>
      </c>
      <c r="O19" s="21">
        <v>3.89</v>
      </c>
      <c r="P19" s="12">
        <v>5.84</v>
      </c>
      <c r="Q19" s="15">
        <v>5.4</v>
      </c>
      <c r="R19" s="16">
        <v>5.9</v>
      </c>
      <c r="S19" s="22">
        <v>4.82</v>
      </c>
      <c r="T19" s="23">
        <v>1.7833172474234809</v>
      </c>
      <c r="U19" s="24">
        <v>82.765000000000001</v>
      </c>
      <c r="V19" s="25">
        <v>16.662500000000001</v>
      </c>
      <c r="W19" s="26">
        <v>49.178743961352659</v>
      </c>
      <c r="X19" s="52">
        <v>-12.25</v>
      </c>
    </row>
    <row r="20" spans="1:24" ht="15.5" x14ac:dyDescent="0.35">
      <c r="A20" s="12">
        <v>19</v>
      </c>
      <c r="B20" s="13" t="s">
        <v>51</v>
      </c>
      <c r="C20" s="12">
        <v>2022</v>
      </c>
      <c r="D20" s="14" t="s">
        <v>29</v>
      </c>
      <c r="E20" s="12">
        <v>80</v>
      </c>
      <c r="F20" s="15">
        <v>309.38</v>
      </c>
      <c r="G20" s="16">
        <v>9</v>
      </c>
      <c r="H20" s="17">
        <v>8</v>
      </c>
      <c r="I20" s="18">
        <v>0.50929999999999997</v>
      </c>
      <c r="J20" s="19">
        <v>2.0099999999999998</v>
      </c>
      <c r="K20" s="20">
        <f t="shared" si="0"/>
        <v>38672500</v>
      </c>
      <c r="L20" s="16">
        <v>634.5</v>
      </c>
      <c r="M20" s="16">
        <v>-48.5</v>
      </c>
      <c r="N20" s="16">
        <v>546.6</v>
      </c>
      <c r="O20" s="21">
        <v>0.35</v>
      </c>
      <c r="P20" s="12">
        <v>5.84</v>
      </c>
      <c r="Q20" s="15">
        <v>5.4</v>
      </c>
      <c r="R20" s="16">
        <v>5.9</v>
      </c>
      <c r="S20" s="22">
        <v>4.82</v>
      </c>
      <c r="T20" s="23">
        <v>0.29522191608731446</v>
      </c>
      <c r="U20" s="24">
        <v>82.241100000000003</v>
      </c>
      <c r="V20" s="25">
        <v>20.175000000000001</v>
      </c>
      <c r="W20" s="26">
        <v>16.5625</v>
      </c>
      <c r="X20" s="52">
        <v>-22.63</v>
      </c>
    </row>
    <row r="21" spans="1:24" ht="15.5" x14ac:dyDescent="0.35">
      <c r="A21" s="12">
        <v>20</v>
      </c>
      <c r="B21" s="13" t="s">
        <v>52</v>
      </c>
      <c r="C21" s="12">
        <v>2022</v>
      </c>
      <c r="D21" s="14" t="s">
        <v>34</v>
      </c>
      <c r="E21" s="12">
        <v>59</v>
      </c>
      <c r="F21" s="15">
        <v>500</v>
      </c>
      <c r="G21" s="16">
        <v>42</v>
      </c>
      <c r="H21" s="17">
        <v>10</v>
      </c>
      <c r="I21" s="33">
        <v>1</v>
      </c>
      <c r="J21" s="19">
        <v>71.930000000000007</v>
      </c>
      <c r="K21" s="20">
        <f t="shared" si="0"/>
        <v>84745762.711864412</v>
      </c>
      <c r="L21" s="16">
        <v>43493.2</v>
      </c>
      <c r="M21" s="16">
        <v>1039</v>
      </c>
      <c r="N21" s="16">
        <v>19711.099999999999</v>
      </c>
      <c r="O21" s="21">
        <v>1.94</v>
      </c>
      <c r="P21" s="12">
        <v>5.84</v>
      </c>
      <c r="Q21" s="15">
        <v>5.4</v>
      </c>
      <c r="R21" s="16">
        <v>5.9</v>
      </c>
      <c r="S21" s="22">
        <v>4.82</v>
      </c>
      <c r="T21" s="23">
        <v>0.73374957086414017</v>
      </c>
      <c r="U21" s="24">
        <v>82.4</v>
      </c>
      <c r="V21" s="25">
        <v>18.8125</v>
      </c>
      <c r="W21" s="26">
        <v>43.220338983050851</v>
      </c>
      <c r="X21" s="52">
        <v>89.7</v>
      </c>
    </row>
    <row r="22" spans="1:24" ht="15.5" x14ac:dyDescent="0.35">
      <c r="A22" s="12">
        <v>21</v>
      </c>
      <c r="B22" s="13" t="s">
        <v>53</v>
      </c>
      <c r="C22" s="12">
        <v>2022</v>
      </c>
      <c r="D22" s="14" t="s">
        <v>27</v>
      </c>
      <c r="E22" s="12">
        <v>330</v>
      </c>
      <c r="F22" s="15">
        <v>755</v>
      </c>
      <c r="G22" s="16">
        <v>12</v>
      </c>
      <c r="H22" s="17">
        <v>10</v>
      </c>
      <c r="I22" s="33">
        <v>0.997</v>
      </c>
      <c r="J22" s="19">
        <v>74.7</v>
      </c>
      <c r="K22" s="20">
        <f t="shared" si="0"/>
        <v>22878787.878787879</v>
      </c>
      <c r="L22" s="16">
        <v>9564.5</v>
      </c>
      <c r="M22" s="16">
        <v>1060.8</v>
      </c>
      <c r="N22" s="16">
        <v>10778.6</v>
      </c>
      <c r="O22" s="21">
        <v>0.53</v>
      </c>
      <c r="P22" s="12">
        <v>5.84</v>
      </c>
      <c r="Q22" s="15">
        <v>8.4</v>
      </c>
      <c r="R22" s="16">
        <v>5.4</v>
      </c>
      <c r="S22" s="22">
        <v>4.82</v>
      </c>
      <c r="T22" s="23">
        <v>-1.7951388989083692</v>
      </c>
      <c r="U22" s="24">
        <v>79.817999999999998</v>
      </c>
      <c r="V22" s="25">
        <v>19.822500000000002</v>
      </c>
      <c r="W22" s="26">
        <v>47.424242424242422</v>
      </c>
      <c r="X22" s="52">
        <v>30.3</v>
      </c>
    </row>
    <row r="23" spans="1:24" ht="15.5" x14ac:dyDescent="0.35">
      <c r="A23" s="12">
        <v>22</v>
      </c>
      <c r="B23" s="13" t="s">
        <v>54</v>
      </c>
      <c r="C23" s="12">
        <v>2022</v>
      </c>
      <c r="D23" s="14" t="s">
        <v>32</v>
      </c>
      <c r="E23" s="12">
        <v>510</v>
      </c>
      <c r="F23" s="15">
        <v>807.84</v>
      </c>
      <c r="G23" s="16">
        <v>101</v>
      </c>
      <c r="H23" s="17">
        <v>8</v>
      </c>
      <c r="I23" s="33">
        <v>1</v>
      </c>
      <c r="J23" s="19">
        <v>2.86</v>
      </c>
      <c r="K23" s="20">
        <f t="shared" si="0"/>
        <v>15840000</v>
      </c>
      <c r="L23" s="34">
        <v>46564.4</v>
      </c>
      <c r="M23" s="16">
        <v>8219.1</v>
      </c>
      <c r="N23" s="16">
        <v>528584.9</v>
      </c>
      <c r="O23" s="21">
        <v>0</v>
      </c>
      <c r="P23" s="12">
        <v>5.84</v>
      </c>
      <c r="Q23" s="15">
        <v>8.4</v>
      </c>
      <c r="R23" s="16">
        <v>5.4</v>
      </c>
      <c r="S23" s="22">
        <v>4.82</v>
      </c>
      <c r="T23" s="23">
        <v>-0.70179823647850337</v>
      </c>
      <c r="U23" s="24">
        <v>79.921999999999997</v>
      </c>
      <c r="V23" s="25">
        <v>19.3675</v>
      </c>
      <c r="W23" s="26">
        <v>-6.8627450980396618E-2</v>
      </c>
      <c r="X23" s="29">
        <v>8.89</v>
      </c>
    </row>
    <row r="24" spans="1:24" ht="15.5" x14ac:dyDescent="0.35">
      <c r="A24" s="12">
        <v>23</v>
      </c>
      <c r="B24" s="13" t="s">
        <v>55</v>
      </c>
      <c r="C24" s="12">
        <v>2022</v>
      </c>
      <c r="D24" s="14" t="s">
        <v>27</v>
      </c>
      <c r="E24" s="12">
        <v>326</v>
      </c>
      <c r="F24" s="15">
        <v>562.1</v>
      </c>
      <c r="G24" s="16">
        <v>14</v>
      </c>
      <c r="H24" s="17">
        <v>11</v>
      </c>
      <c r="I24" s="30">
        <v>1</v>
      </c>
      <c r="J24" s="19">
        <v>56.68</v>
      </c>
      <c r="K24" s="20">
        <f t="shared" si="0"/>
        <v>17242331.28834356</v>
      </c>
      <c r="L24" s="16">
        <v>2826.2</v>
      </c>
      <c r="M24" s="16">
        <v>162.5</v>
      </c>
      <c r="N24" s="16">
        <v>1686.9</v>
      </c>
      <c r="O24" s="21">
        <v>0.12</v>
      </c>
      <c r="P24" s="12">
        <v>5.84</v>
      </c>
      <c r="Q24" s="15">
        <v>8.4</v>
      </c>
      <c r="R24" s="16">
        <v>5.4</v>
      </c>
      <c r="S24" s="22">
        <v>4.82</v>
      </c>
      <c r="T24" s="23">
        <v>-5.7738681520229644E-2</v>
      </c>
      <c r="U24" s="24">
        <v>79.909700000000001</v>
      </c>
      <c r="V24" s="25">
        <v>18.215</v>
      </c>
      <c r="W24" s="26">
        <v>41.840490797546003</v>
      </c>
      <c r="X24" s="29">
        <v>8.5500000000000007</v>
      </c>
    </row>
    <row r="25" spans="1:24" ht="15.5" x14ac:dyDescent="0.35">
      <c r="A25" s="12">
        <v>24</v>
      </c>
      <c r="B25" s="13" t="s">
        <v>56</v>
      </c>
      <c r="C25" s="12">
        <v>2022</v>
      </c>
      <c r="D25" s="14" t="s">
        <v>29</v>
      </c>
      <c r="E25" s="12">
        <v>220</v>
      </c>
      <c r="F25" s="15">
        <v>840</v>
      </c>
      <c r="G25" s="16">
        <v>18</v>
      </c>
      <c r="H25" s="17">
        <v>8</v>
      </c>
      <c r="I25" s="18">
        <v>0.61499999999999999</v>
      </c>
      <c r="J25" s="19">
        <v>32.61</v>
      </c>
      <c r="K25" s="20">
        <f t="shared" si="0"/>
        <v>38181818.18181818</v>
      </c>
      <c r="L25" s="16">
        <v>6462.6</v>
      </c>
      <c r="M25" s="16">
        <v>306.10000000000002</v>
      </c>
      <c r="N25" s="16">
        <v>9596.7000000000007</v>
      </c>
      <c r="O25" s="21">
        <v>0.25</v>
      </c>
      <c r="P25" s="12">
        <v>5.84</v>
      </c>
      <c r="Q25" s="15">
        <v>8.4</v>
      </c>
      <c r="R25" s="16">
        <v>5.4</v>
      </c>
      <c r="S25" s="22">
        <v>4.82</v>
      </c>
      <c r="T25" s="23">
        <v>0.20801885581069271</v>
      </c>
      <c r="U25" s="24">
        <v>79.666700000000006</v>
      </c>
      <c r="V25" s="25">
        <v>17.350000000000001</v>
      </c>
      <c r="W25" s="26">
        <v>41.13636363636364</v>
      </c>
      <c r="X25" s="29">
        <v>73.19</v>
      </c>
    </row>
    <row r="26" spans="1:24" ht="15.5" x14ac:dyDescent="0.35">
      <c r="A26" s="12">
        <v>25</v>
      </c>
      <c r="B26" s="13" t="s">
        <v>57</v>
      </c>
      <c r="C26" s="12">
        <v>2022</v>
      </c>
      <c r="D26" s="14" t="s">
        <v>25</v>
      </c>
      <c r="E26" s="12">
        <v>642</v>
      </c>
      <c r="F26" s="15">
        <v>808.04</v>
      </c>
      <c r="G26" s="16">
        <v>9</v>
      </c>
      <c r="H26" s="17">
        <v>8</v>
      </c>
      <c r="I26" s="18">
        <v>0.96960000000000002</v>
      </c>
      <c r="J26" s="19">
        <v>6.26</v>
      </c>
      <c r="K26" s="20">
        <f t="shared" si="0"/>
        <v>12586292.834890965</v>
      </c>
      <c r="L26" s="16">
        <v>5929.5</v>
      </c>
      <c r="M26" s="16">
        <v>1089.3</v>
      </c>
      <c r="N26" s="16">
        <v>7698.1</v>
      </c>
      <c r="O26" s="21">
        <v>0.89</v>
      </c>
      <c r="P26" s="12">
        <v>5.84</v>
      </c>
      <c r="Q26" s="15">
        <v>20.100000000000001</v>
      </c>
      <c r="R26" s="16">
        <v>4.4000000000000004</v>
      </c>
      <c r="S26" s="22">
        <v>4.82</v>
      </c>
      <c r="T26" s="23">
        <v>-0.26280971854703344</v>
      </c>
      <c r="U26" s="24">
        <v>77.626199999999997</v>
      </c>
      <c r="V26" s="25">
        <v>22.717500000000001</v>
      </c>
      <c r="W26" s="26">
        <v>20.623052959501553</v>
      </c>
      <c r="X26" s="29">
        <v>18.52</v>
      </c>
    </row>
    <row r="27" spans="1:24" ht="15.5" x14ac:dyDescent="0.35">
      <c r="A27" s="12">
        <v>26</v>
      </c>
      <c r="B27" s="13" t="s">
        <v>58</v>
      </c>
      <c r="C27" s="12">
        <v>2022</v>
      </c>
      <c r="D27" s="14" t="s">
        <v>29</v>
      </c>
      <c r="E27" s="12">
        <v>256</v>
      </c>
      <c r="F27" s="15">
        <v>412.79</v>
      </c>
      <c r="G27" s="16">
        <v>14</v>
      </c>
      <c r="H27" s="17">
        <v>8</v>
      </c>
      <c r="I27" s="18">
        <v>0.79190000000000005</v>
      </c>
      <c r="J27" s="19">
        <v>2.72</v>
      </c>
      <c r="K27" s="20">
        <f t="shared" si="0"/>
        <v>16124609.375</v>
      </c>
      <c r="L27" s="16">
        <v>1530.2</v>
      </c>
      <c r="M27" s="16">
        <v>300.39999999999998</v>
      </c>
      <c r="N27" s="16">
        <v>2229.1</v>
      </c>
      <c r="O27" s="21">
        <v>0.47</v>
      </c>
      <c r="P27" s="12">
        <v>5.84</v>
      </c>
      <c r="Q27" s="15">
        <v>20.100000000000001</v>
      </c>
      <c r="R27" s="16">
        <v>4.4000000000000004</v>
      </c>
      <c r="S27" s="22">
        <v>4.82</v>
      </c>
      <c r="T27" s="23">
        <v>-0.37263597746094573</v>
      </c>
      <c r="U27" s="24">
        <v>77.635199999999998</v>
      </c>
      <c r="V27" s="25">
        <v>25.635000000000002</v>
      </c>
      <c r="W27" s="26">
        <v>0.74218749999999112</v>
      </c>
      <c r="X27" s="29">
        <v>67.39</v>
      </c>
    </row>
    <row r="28" spans="1:24" ht="15.5" x14ac:dyDescent="0.35">
      <c r="A28" s="12">
        <v>27</v>
      </c>
      <c r="B28" s="13" t="s">
        <v>59</v>
      </c>
      <c r="C28" s="12">
        <v>2022</v>
      </c>
      <c r="D28" s="14" t="s">
        <v>34</v>
      </c>
      <c r="E28" s="12">
        <v>878</v>
      </c>
      <c r="F28" s="15">
        <v>472.29</v>
      </c>
      <c r="G28" s="16">
        <v>15</v>
      </c>
      <c r="H28" s="17">
        <v>10</v>
      </c>
      <c r="I28" s="18">
        <v>0.81010000000000004</v>
      </c>
      <c r="J28" s="19">
        <v>1.04</v>
      </c>
      <c r="K28" s="20">
        <f t="shared" si="0"/>
        <v>5379157.1753986329</v>
      </c>
      <c r="L28" s="16">
        <v>5772.8</v>
      </c>
      <c r="M28" s="16">
        <v>233.6</v>
      </c>
      <c r="N28" s="16">
        <v>5079.7</v>
      </c>
      <c r="O28" s="21">
        <v>0.78</v>
      </c>
      <c r="P28" s="12">
        <v>5.84</v>
      </c>
      <c r="Q28" s="15">
        <v>20.100000000000001</v>
      </c>
      <c r="R28" s="16">
        <v>4.4000000000000004</v>
      </c>
      <c r="S28" s="22">
        <v>4.82</v>
      </c>
      <c r="T28" s="23">
        <v>1.8893193374693134</v>
      </c>
      <c r="U28" s="24">
        <v>77.582899999999995</v>
      </c>
      <c r="V28" s="25">
        <v>23.1</v>
      </c>
      <c r="W28" s="26">
        <v>-8.5307517084282427</v>
      </c>
      <c r="X28" s="29">
        <v>55.62</v>
      </c>
    </row>
    <row r="29" spans="1:24" ht="15.5" x14ac:dyDescent="0.35">
      <c r="A29" s="12">
        <v>28</v>
      </c>
      <c r="B29" s="13" t="s">
        <v>60</v>
      </c>
      <c r="C29" s="12">
        <v>2022</v>
      </c>
      <c r="D29" s="14" t="s">
        <v>25</v>
      </c>
      <c r="E29" s="12">
        <v>42</v>
      </c>
      <c r="F29" s="15">
        <v>1501.73</v>
      </c>
      <c r="G29" s="16">
        <v>41</v>
      </c>
      <c r="H29" s="17">
        <v>8</v>
      </c>
      <c r="I29" s="30">
        <v>1</v>
      </c>
      <c r="J29" s="19">
        <v>1.75</v>
      </c>
      <c r="K29" s="20">
        <f t="shared" si="0"/>
        <v>357554761.90476191</v>
      </c>
      <c r="L29" s="16">
        <v>79927.7</v>
      </c>
      <c r="M29" s="16">
        <v>3978.4</v>
      </c>
      <c r="N29" s="16">
        <v>80341</v>
      </c>
      <c r="O29" s="21">
        <v>1.04</v>
      </c>
      <c r="P29" s="12">
        <v>5.84</v>
      </c>
      <c r="Q29" s="15">
        <v>20.100000000000001</v>
      </c>
      <c r="R29" s="16">
        <v>4.4000000000000004</v>
      </c>
      <c r="S29" s="22">
        <v>4.82</v>
      </c>
      <c r="T29" s="23">
        <v>1.1273859549849636</v>
      </c>
      <c r="U29" s="24">
        <v>77.6999</v>
      </c>
      <c r="V29" s="25">
        <v>24.557500000000001</v>
      </c>
      <c r="W29" s="26">
        <v>4.5238095238095202</v>
      </c>
      <c r="X29" s="29">
        <v>19.25</v>
      </c>
    </row>
    <row r="30" spans="1:24" ht="15.5" x14ac:dyDescent="0.35">
      <c r="A30" s="12">
        <v>29</v>
      </c>
      <c r="B30" s="13" t="s">
        <v>61</v>
      </c>
      <c r="C30" s="12">
        <v>2022</v>
      </c>
      <c r="D30" s="14" t="s">
        <v>25</v>
      </c>
      <c r="E30" s="12">
        <v>326</v>
      </c>
      <c r="F30" s="15">
        <v>165.42</v>
      </c>
      <c r="G30" s="16">
        <v>7</v>
      </c>
      <c r="H30" s="17">
        <v>11</v>
      </c>
      <c r="I30" s="18">
        <v>0.64270000000000005</v>
      </c>
      <c r="J30" s="19">
        <v>16.309999999999999</v>
      </c>
      <c r="K30" s="20">
        <f t="shared" si="0"/>
        <v>5074233.1288343547</v>
      </c>
      <c r="L30" s="16">
        <v>3870.7</v>
      </c>
      <c r="M30" s="16">
        <v>316.7</v>
      </c>
      <c r="N30" s="16">
        <v>2496.3000000000002</v>
      </c>
      <c r="O30" s="21">
        <v>0.63</v>
      </c>
      <c r="P30" s="12">
        <v>5.84</v>
      </c>
      <c r="Q30" s="15">
        <v>20.100000000000001</v>
      </c>
      <c r="R30" s="16">
        <v>4.4000000000000004</v>
      </c>
      <c r="S30" s="22">
        <v>4.82</v>
      </c>
      <c r="T30" s="23">
        <v>-0.55227663786564718</v>
      </c>
      <c r="U30" s="24">
        <v>77.354299999999995</v>
      </c>
      <c r="V30" s="25">
        <v>23.484999999999999</v>
      </c>
      <c r="W30" s="26">
        <v>8.6963190184049139</v>
      </c>
      <c r="X30" s="29">
        <v>168.21</v>
      </c>
    </row>
    <row r="31" spans="1:24" ht="15.5" x14ac:dyDescent="0.35">
      <c r="A31" s="12">
        <v>30</v>
      </c>
      <c r="B31" s="13" t="s">
        <v>62</v>
      </c>
      <c r="C31" s="12">
        <v>2022</v>
      </c>
      <c r="D31" s="14" t="s">
        <v>27</v>
      </c>
      <c r="E31" s="12">
        <v>487</v>
      </c>
      <c r="F31" s="15">
        <v>5235</v>
      </c>
      <c r="G31" s="16">
        <v>11</v>
      </c>
      <c r="H31" s="17">
        <v>11</v>
      </c>
      <c r="I31" s="35">
        <v>0.73299999999999998</v>
      </c>
      <c r="J31" s="19">
        <v>1.63</v>
      </c>
      <c r="K31" s="20">
        <f t="shared" si="0"/>
        <v>107494866.52977413</v>
      </c>
      <c r="L31" s="16">
        <v>59170.5</v>
      </c>
      <c r="M31" s="16">
        <v>-8635.2000000000007</v>
      </c>
      <c r="N31" s="16">
        <v>84019.4</v>
      </c>
      <c r="O31" s="21">
        <v>0.24</v>
      </c>
      <c r="P31" s="12">
        <v>5.84</v>
      </c>
      <c r="Q31" s="15">
        <v>20.100000000000001</v>
      </c>
      <c r="R31" s="16">
        <v>4.4000000000000004</v>
      </c>
      <c r="S31" s="22">
        <v>4.82</v>
      </c>
      <c r="T31" s="23">
        <v>-0.55227663786564718</v>
      </c>
      <c r="U31" s="24">
        <v>77.354299999999995</v>
      </c>
      <c r="V31" s="25">
        <v>23.484999999999999</v>
      </c>
      <c r="W31" s="26">
        <v>10.133470225872694</v>
      </c>
      <c r="X31" s="29">
        <v>-32.85</v>
      </c>
    </row>
    <row r="32" spans="1:24" ht="15.5" x14ac:dyDescent="0.35">
      <c r="A32" s="12">
        <v>31</v>
      </c>
      <c r="B32" s="13" t="s">
        <v>63</v>
      </c>
      <c r="C32" s="12">
        <v>2022</v>
      </c>
      <c r="D32" s="36" t="s">
        <v>64</v>
      </c>
      <c r="E32" s="12">
        <v>630</v>
      </c>
      <c r="F32" s="15">
        <v>538.61</v>
      </c>
      <c r="G32" s="16">
        <v>19</v>
      </c>
      <c r="H32" s="17">
        <v>8</v>
      </c>
      <c r="I32" s="18">
        <v>0.56779999999999997</v>
      </c>
      <c r="J32" s="19">
        <v>1.22</v>
      </c>
      <c r="K32" s="20">
        <f t="shared" si="0"/>
        <v>8549365.0793650802</v>
      </c>
      <c r="L32" s="16">
        <v>0.8</v>
      </c>
      <c r="M32" s="16">
        <v>586.6</v>
      </c>
      <c r="N32" s="16">
        <v>2726.1</v>
      </c>
      <c r="O32" s="21">
        <v>0.05</v>
      </c>
      <c r="P32" s="12">
        <v>5.84</v>
      </c>
      <c r="Q32" s="15">
        <v>20.100000000000001</v>
      </c>
      <c r="R32" s="16">
        <v>4.4000000000000004</v>
      </c>
      <c r="S32" s="22">
        <v>4.82</v>
      </c>
      <c r="T32" s="23">
        <v>2.8891039508140728</v>
      </c>
      <c r="U32" s="24">
        <v>77.586799999999997</v>
      </c>
      <c r="V32" s="25">
        <v>24.265000000000001</v>
      </c>
      <c r="W32" s="26">
        <v>-10.833333333333334</v>
      </c>
      <c r="X32" s="29">
        <v>52.43</v>
      </c>
    </row>
    <row r="33" spans="1:24" ht="15.5" x14ac:dyDescent="0.35">
      <c r="A33" s="12">
        <v>32</v>
      </c>
      <c r="B33" s="13" t="s">
        <v>65</v>
      </c>
      <c r="C33" s="12">
        <v>2022</v>
      </c>
      <c r="D33" s="36" t="s">
        <v>64</v>
      </c>
      <c r="E33" s="12">
        <v>949</v>
      </c>
      <c r="F33" s="15">
        <v>21008.48</v>
      </c>
      <c r="G33" s="16">
        <v>66</v>
      </c>
      <c r="H33" s="17">
        <v>8</v>
      </c>
      <c r="I33" s="30">
        <v>1</v>
      </c>
      <c r="J33" s="19">
        <v>2.95</v>
      </c>
      <c r="K33" s="20">
        <f t="shared" si="0"/>
        <v>221374920.9694415</v>
      </c>
      <c r="L33" s="31">
        <v>6159341</v>
      </c>
      <c r="M33" s="31">
        <v>61350</v>
      </c>
      <c r="N33" s="31">
        <v>41514400</v>
      </c>
      <c r="O33" s="21">
        <v>0</v>
      </c>
      <c r="P33" s="12">
        <v>5.84</v>
      </c>
      <c r="Q33" s="15">
        <v>20.100000000000001</v>
      </c>
      <c r="R33" s="16">
        <v>4.4000000000000004</v>
      </c>
      <c r="S33" s="22">
        <v>4.82</v>
      </c>
      <c r="T33" s="23">
        <v>2.6321935577536095</v>
      </c>
      <c r="U33" s="24">
        <v>77.367900000000006</v>
      </c>
      <c r="V33" s="25">
        <v>22.032499999999999</v>
      </c>
      <c r="W33" s="26">
        <v>-7.771338250790305</v>
      </c>
      <c r="X33" s="29">
        <v>54.19</v>
      </c>
    </row>
    <row r="34" spans="1:24" ht="15.5" x14ac:dyDescent="0.35">
      <c r="A34" s="12">
        <v>33</v>
      </c>
      <c r="B34" s="13" t="s">
        <v>66</v>
      </c>
      <c r="C34" s="12">
        <v>2022</v>
      </c>
      <c r="D34" s="36" t="s">
        <v>48</v>
      </c>
      <c r="E34" s="12">
        <v>542</v>
      </c>
      <c r="F34" s="15">
        <v>1580.85</v>
      </c>
      <c r="G34" s="16">
        <v>24</v>
      </c>
      <c r="H34" s="17">
        <v>11</v>
      </c>
      <c r="I34" s="18">
        <v>0.62190000000000001</v>
      </c>
      <c r="J34" s="19">
        <v>12.43</v>
      </c>
      <c r="K34" s="20">
        <f t="shared" si="0"/>
        <v>29166974.169741698</v>
      </c>
      <c r="L34" s="16">
        <v>9246</v>
      </c>
      <c r="M34" s="16">
        <v>1422.9</v>
      </c>
      <c r="N34" s="16">
        <v>14244.6</v>
      </c>
      <c r="O34" s="21">
        <v>0.93</v>
      </c>
      <c r="P34" s="12">
        <v>5.84</v>
      </c>
      <c r="Q34" s="15">
        <v>20.100000000000001</v>
      </c>
      <c r="R34" s="16">
        <v>4.4000000000000004</v>
      </c>
      <c r="S34" s="22">
        <v>4.82</v>
      </c>
      <c r="T34" s="23">
        <v>-0.37909807782552957</v>
      </c>
      <c r="U34" s="24">
        <v>76.424199999999999</v>
      </c>
      <c r="V34" s="25">
        <v>19.414999999999999</v>
      </c>
      <c r="W34" s="26">
        <v>-16.937269372693727</v>
      </c>
      <c r="X34" s="29">
        <v>74.11</v>
      </c>
    </row>
    <row r="35" spans="1:24" ht="15.5" x14ac:dyDescent="0.35">
      <c r="A35" s="12">
        <v>34</v>
      </c>
      <c r="B35" s="13" t="s">
        <v>67</v>
      </c>
      <c r="C35" s="12">
        <v>2022</v>
      </c>
      <c r="D35" s="36" t="s">
        <v>34</v>
      </c>
      <c r="E35" s="12">
        <v>292</v>
      </c>
      <c r="F35" s="15">
        <v>1400.14</v>
      </c>
      <c r="G35" s="16">
        <v>17</v>
      </c>
      <c r="H35" s="17">
        <v>11</v>
      </c>
      <c r="I35" s="18">
        <v>0.78210000000000002</v>
      </c>
      <c r="J35" s="19">
        <v>51.75</v>
      </c>
      <c r="K35" s="20">
        <f t="shared" si="0"/>
        <v>47950000.000000007</v>
      </c>
      <c r="L35" s="16">
        <v>11941.8</v>
      </c>
      <c r="M35" s="16">
        <v>1085.4000000000001</v>
      </c>
      <c r="N35" s="16">
        <v>10552.4</v>
      </c>
      <c r="O35" s="21">
        <v>0.63</v>
      </c>
      <c r="P35" s="12">
        <v>5.84</v>
      </c>
      <c r="Q35" s="15">
        <v>20.100000000000001</v>
      </c>
      <c r="R35" s="16">
        <v>4.4000000000000004</v>
      </c>
      <c r="S35" s="22">
        <v>4.82</v>
      </c>
      <c r="T35" s="23">
        <v>-0.6666158884911243</v>
      </c>
      <c r="U35" s="24">
        <v>76.616699999999994</v>
      </c>
      <c r="V35" s="25">
        <v>19.377500000000001</v>
      </c>
      <c r="W35" s="26">
        <v>29.760273972602729</v>
      </c>
      <c r="X35" s="29">
        <v>-3.99</v>
      </c>
    </row>
    <row r="36" spans="1:24" ht="15.5" x14ac:dyDescent="0.35">
      <c r="A36" s="12">
        <v>35</v>
      </c>
      <c r="B36" s="13" t="s">
        <v>68</v>
      </c>
      <c r="C36" s="12">
        <v>2022</v>
      </c>
      <c r="D36" s="36" t="s">
        <v>25</v>
      </c>
      <c r="E36" s="12">
        <v>153</v>
      </c>
      <c r="F36" s="15">
        <v>130.05000000000001</v>
      </c>
      <c r="G36" s="16">
        <v>15</v>
      </c>
      <c r="H36" s="17">
        <v>8</v>
      </c>
      <c r="I36" s="18">
        <v>0.99099999999999999</v>
      </c>
      <c r="J36" s="19">
        <v>7.93</v>
      </c>
      <c r="K36" s="20">
        <f t="shared" si="0"/>
        <v>8500000</v>
      </c>
      <c r="L36" s="16">
        <v>5957.3</v>
      </c>
      <c r="M36" s="16">
        <v>319.60000000000002</v>
      </c>
      <c r="N36" s="16">
        <v>2159.3000000000002</v>
      </c>
      <c r="O36" s="21">
        <v>0.96</v>
      </c>
      <c r="P36" s="12">
        <v>5.84</v>
      </c>
      <c r="Q36" s="15">
        <v>20.100000000000001</v>
      </c>
      <c r="R36" s="16">
        <v>4</v>
      </c>
      <c r="S36" s="22">
        <v>4.82</v>
      </c>
      <c r="T36" s="23">
        <v>-0.31174594844353959</v>
      </c>
      <c r="U36" s="24">
        <v>75.389899999999997</v>
      </c>
      <c r="V36" s="25">
        <v>18.487500000000001</v>
      </c>
      <c r="W36" s="26">
        <v>50.980392156862742</v>
      </c>
      <c r="X36" s="29">
        <v>118.7</v>
      </c>
    </row>
    <row r="37" spans="1:24" ht="15.5" x14ac:dyDescent="0.35">
      <c r="A37" s="12">
        <v>36</v>
      </c>
      <c r="B37" s="13" t="s">
        <v>69</v>
      </c>
      <c r="C37" s="12">
        <v>2022</v>
      </c>
      <c r="D37" s="36" t="s">
        <v>34</v>
      </c>
      <c r="E37" s="12">
        <v>137</v>
      </c>
      <c r="F37" s="15">
        <v>200</v>
      </c>
      <c r="G37" s="16">
        <v>4</v>
      </c>
      <c r="H37" s="17">
        <v>11</v>
      </c>
      <c r="I37" s="18">
        <v>0.89219999999999999</v>
      </c>
      <c r="J37" s="19">
        <v>3.53</v>
      </c>
      <c r="K37" s="20">
        <f t="shared" si="0"/>
        <v>14598540.145985402</v>
      </c>
      <c r="L37" s="16">
        <v>29.7</v>
      </c>
      <c r="M37" s="16">
        <v>-12.5</v>
      </c>
      <c r="N37" s="16">
        <v>142.5</v>
      </c>
      <c r="O37" s="21">
        <v>0.92</v>
      </c>
      <c r="P37" s="12">
        <v>5.84</v>
      </c>
      <c r="Q37" s="15">
        <v>20.100000000000001</v>
      </c>
      <c r="R37" s="16">
        <v>4</v>
      </c>
      <c r="S37" s="22">
        <v>4.82</v>
      </c>
      <c r="T37" s="23">
        <v>-0.61514758762618715</v>
      </c>
      <c r="U37" s="24">
        <v>75.807100000000005</v>
      </c>
      <c r="V37" s="25">
        <v>20.56</v>
      </c>
      <c r="W37" s="26">
        <v>-4.1970802919708028</v>
      </c>
      <c r="X37" s="29">
        <v>49.71</v>
      </c>
    </row>
    <row r="38" spans="1:24" ht="15.5" x14ac:dyDescent="0.35">
      <c r="A38" s="12">
        <v>37</v>
      </c>
      <c r="B38" s="13" t="s">
        <v>70</v>
      </c>
      <c r="C38" s="12">
        <v>2022</v>
      </c>
      <c r="D38" s="36" t="s">
        <v>36</v>
      </c>
      <c r="E38" s="12">
        <v>68</v>
      </c>
      <c r="F38" s="15">
        <v>60</v>
      </c>
      <c r="G38" s="16">
        <v>34</v>
      </c>
      <c r="H38" s="17">
        <v>8</v>
      </c>
      <c r="I38" s="18">
        <v>0.98129999999999995</v>
      </c>
      <c r="J38" s="19">
        <v>7.67</v>
      </c>
      <c r="K38" s="20">
        <f t="shared" si="0"/>
        <v>8823529.4117647056</v>
      </c>
      <c r="L38" s="16">
        <v>7084.6</v>
      </c>
      <c r="M38" s="16">
        <v>123.6</v>
      </c>
      <c r="N38" s="16">
        <v>1480.6</v>
      </c>
      <c r="O38" s="21">
        <v>0.56999999999999995</v>
      </c>
      <c r="P38" s="12">
        <v>5.84</v>
      </c>
      <c r="Q38" s="15">
        <v>20.100000000000001</v>
      </c>
      <c r="R38" s="16">
        <v>4</v>
      </c>
      <c r="S38" s="22">
        <v>4.82</v>
      </c>
      <c r="T38" s="23">
        <v>-0.9439763247817774</v>
      </c>
      <c r="U38" s="24">
        <v>75.767799999999994</v>
      </c>
      <c r="V38" s="25">
        <v>20.61</v>
      </c>
      <c r="W38" s="26">
        <v>17.352941176470583</v>
      </c>
      <c r="X38" s="37">
        <v>-39.71</v>
      </c>
    </row>
    <row r="39" spans="1:24" ht="15.5" x14ac:dyDescent="0.35">
      <c r="A39" s="38">
        <v>38</v>
      </c>
      <c r="B39" s="13" t="s">
        <v>71</v>
      </c>
      <c r="C39" s="12">
        <v>2022</v>
      </c>
      <c r="D39" s="36" t="s">
        <v>34</v>
      </c>
      <c r="E39" s="12">
        <v>866</v>
      </c>
      <c r="F39" s="15">
        <v>3149.19</v>
      </c>
      <c r="G39" s="16">
        <v>20</v>
      </c>
      <c r="H39" s="17">
        <v>8</v>
      </c>
      <c r="I39" s="18">
        <v>0.92400000000000004</v>
      </c>
      <c r="J39" s="19">
        <v>2.57</v>
      </c>
      <c r="K39" s="20">
        <f t="shared" si="0"/>
        <v>36364780.600461893</v>
      </c>
      <c r="L39" s="16">
        <v>5365.1</v>
      </c>
      <c r="M39" s="16">
        <v>1307.4000000000001</v>
      </c>
      <c r="N39" s="16">
        <v>21031</v>
      </c>
      <c r="O39" s="21">
        <v>0.23</v>
      </c>
      <c r="P39" s="12">
        <v>5.84</v>
      </c>
      <c r="Q39" s="15">
        <v>4.0999999999999996</v>
      </c>
      <c r="R39" s="16">
        <v>4</v>
      </c>
      <c r="S39" s="22">
        <v>4.82</v>
      </c>
      <c r="T39" s="23">
        <v>-0.17432696823791452</v>
      </c>
      <c r="U39" s="24">
        <v>74.69</v>
      </c>
      <c r="V39" s="25">
        <v>19.684999999999999</v>
      </c>
      <c r="W39" s="26">
        <v>7.8002309468822109</v>
      </c>
      <c r="X39" s="29">
        <v>32.29</v>
      </c>
    </row>
    <row r="40" spans="1:24" ht="15.5" x14ac:dyDescent="0.35">
      <c r="A40" s="12">
        <v>39</v>
      </c>
      <c r="B40" s="13" t="s">
        <v>72</v>
      </c>
      <c r="C40" s="12">
        <v>2022</v>
      </c>
      <c r="D40" s="36" t="s">
        <v>36</v>
      </c>
      <c r="E40" s="12">
        <v>230</v>
      </c>
      <c r="F40" s="15">
        <v>3600</v>
      </c>
      <c r="G40" s="16">
        <v>23</v>
      </c>
      <c r="H40" s="17">
        <v>8</v>
      </c>
      <c r="I40" s="30">
        <v>1</v>
      </c>
      <c r="J40" s="19">
        <v>17.37</v>
      </c>
      <c r="K40" s="20">
        <f t="shared" si="0"/>
        <v>156521739.13043478</v>
      </c>
      <c r="L40" s="16">
        <v>371423</v>
      </c>
      <c r="M40" s="16">
        <v>6545.6</v>
      </c>
      <c r="N40" s="16">
        <v>131784.9</v>
      </c>
      <c r="O40" s="21">
        <v>0.98</v>
      </c>
      <c r="P40" s="12">
        <v>5.84</v>
      </c>
      <c r="Q40" s="15">
        <v>4.0999999999999996</v>
      </c>
      <c r="R40" s="16">
        <v>4</v>
      </c>
      <c r="S40" s="22">
        <v>4.82</v>
      </c>
      <c r="T40" s="23">
        <v>0.30876748617373162</v>
      </c>
      <c r="U40" s="24">
        <v>74.967399999999998</v>
      </c>
      <c r="V40" s="25">
        <v>21.952500000000001</v>
      </c>
      <c r="W40" s="26">
        <v>16.630434782608695</v>
      </c>
      <c r="X40" s="29">
        <v>48.7</v>
      </c>
    </row>
    <row r="41" spans="1:24" ht="15.5" x14ac:dyDescent="0.35">
      <c r="A41" s="12">
        <v>40</v>
      </c>
      <c r="B41" s="13" t="s">
        <v>73</v>
      </c>
      <c r="C41" s="12">
        <v>2022</v>
      </c>
      <c r="D41" s="36" t="s">
        <v>74</v>
      </c>
      <c r="E41" s="12">
        <v>175</v>
      </c>
      <c r="F41" s="15">
        <v>680</v>
      </c>
      <c r="G41" s="16">
        <v>20</v>
      </c>
      <c r="H41" s="17">
        <v>10</v>
      </c>
      <c r="I41" s="18">
        <v>0.98229999999999995</v>
      </c>
      <c r="J41" s="19">
        <v>7.79</v>
      </c>
      <c r="K41" s="20">
        <f t="shared" si="0"/>
        <v>38857142.857142858</v>
      </c>
      <c r="L41" s="16">
        <v>5112.8</v>
      </c>
      <c r="M41" s="16">
        <v>700.9</v>
      </c>
      <c r="N41" s="16">
        <v>27572.3</v>
      </c>
      <c r="O41" s="21">
        <v>1.6</v>
      </c>
      <c r="P41" s="12">
        <v>5.84</v>
      </c>
      <c r="Q41" s="15">
        <v>4.0999999999999996</v>
      </c>
      <c r="R41" s="16">
        <v>4</v>
      </c>
      <c r="S41" s="22">
        <v>4.82</v>
      </c>
      <c r="T41" s="23">
        <v>1.3910694394498744</v>
      </c>
      <c r="U41" s="24">
        <v>74.534300000000002</v>
      </c>
      <c r="V41" s="25">
        <v>18.887499999999999</v>
      </c>
      <c r="W41" s="26">
        <v>-7.9714285714285653</v>
      </c>
      <c r="X41" s="29">
        <v>-64.7</v>
      </c>
    </row>
    <row r="42" spans="1:24" ht="15.5" x14ac:dyDescent="0.35">
      <c r="A42" s="12">
        <v>41</v>
      </c>
      <c r="B42" s="13" t="s">
        <v>75</v>
      </c>
      <c r="C42" s="19">
        <v>2021</v>
      </c>
      <c r="D42" s="36" t="s">
        <v>74</v>
      </c>
      <c r="E42" s="12">
        <v>216</v>
      </c>
      <c r="F42" s="15">
        <v>1100</v>
      </c>
      <c r="G42" s="16">
        <v>13</v>
      </c>
      <c r="H42" s="12">
        <v>8</v>
      </c>
      <c r="I42" s="30">
        <v>1</v>
      </c>
      <c r="J42" s="12">
        <v>1.95</v>
      </c>
      <c r="K42" s="20">
        <f t="shared" si="0"/>
        <v>50925925.925925925</v>
      </c>
      <c r="L42" s="16">
        <v>11536.2</v>
      </c>
      <c r="M42" s="16">
        <v>1516.8</v>
      </c>
      <c r="N42" s="16">
        <v>15860.3</v>
      </c>
      <c r="O42" s="21">
        <v>0</v>
      </c>
      <c r="P42" s="12">
        <v>5.13</v>
      </c>
      <c r="Q42" s="15">
        <v>9.0502779077405098</v>
      </c>
      <c r="R42" s="16">
        <v>4</v>
      </c>
      <c r="S42" s="22">
        <v>6.38</v>
      </c>
      <c r="T42" s="23">
        <v>0.87248317284168497</v>
      </c>
      <c r="U42" s="24">
        <v>75.348100000000002</v>
      </c>
      <c r="V42" s="25">
        <v>15.824999999999999</v>
      </c>
      <c r="W42" s="26">
        <v>10.2777777777778</v>
      </c>
      <c r="X42" s="29">
        <v>31.21</v>
      </c>
    </row>
    <row r="43" spans="1:24" ht="15.5" x14ac:dyDescent="0.35">
      <c r="A43" s="39">
        <v>42</v>
      </c>
      <c r="B43" s="13" t="s">
        <v>76</v>
      </c>
      <c r="C43" s="19">
        <v>2021</v>
      </c>
      <c r="D43" s="36" t="s">
        <v>48</v>
      </c>
      <c r="E43" s="12">
        <v>274</v>
      </c>
      <c r="F43" s="15">
        <v>700</v>
      </c>
      <c r="G43" s="16">
        <v>13</v>
      </c>
      <c r="H43" s="40" t="s">
        <v>77</v>
      </c>
      <c r="I43" s="18">
        <v>0.99980000000000002</v>
      </c>
      <c r="J43" s="12">
        <v>71.510000000000005</v>
      </c>
      <c r="K43" s="20">
        <f t="shared" si="0"/>
        <v>25547445.255474452</v>
      </c>
      <c r="L43" s="16">
        <v>4291</v>
      </c>
      <c r="M43" s="16">
        <v>1235.9000000000001</v>
      </c>
      <c r="N43" s="16">
        <v>4468.3</v>
      </c>
      <c r="O43" s="21">
        <v>0.37</v>
      </c>
      <c r="P43" s="12">
        <v>5.13</v>
      </c>
      <c r="Q43" s="15">
        <v>9.0502779077405098</v>
      </c>
      <c r="R43" s="16">
        <v>4</v>
      </c>
      <c r="S43" s="22">
        <v>6.38</v>
      </c>
      <c r="T43" s="23">
        <v>0.8603409174043456</v>
      </c>
      <c r="U43" s="24">
        <v>75.986500000000007</v>
      </c>
      <c r="V43" s="25">
        <v>18.965</v>
      </c>
      <c r="W43" s="26">
        <v>42.64598540145986</v>
      </c>
      <c r="X43" s="29">
        <v>-39.869999999999997</v>
      </c>
    </row>
    <row r="44" spans="1:24" ht="15.5" x14ac:dyDescent="0.35">
      <c r="A44" s="12">
        <v>43</v>
      </c>
      <c r="B44" s="13" t="s">
        <v>78</v>
      </c>
      <c r="C44" s="19">
        <v>2021</v>
      </c>
      <c r="D44" s="36" t="s">
        <v>25</v>
      </c>
      <c r="E44" s="19">
        <v>274</v>
      </c>
      <c r="F44" s="41">
        <v>125.96</v>
      </c>
      <c r="G44" s="16">
        <v>43</v>
      </c>
      <c r="H44" s="40" t="s">
        <v>79</v>
      </c>
      <c r="I44" s="30">
        <v>0.95</v>
      </c>
      <c r="J44" s="19">
        <v>20.96</v>
      </c>
      <c r="K44" s="20">
        <f t="shared" si="0"/>
        <v>4597080.2919708025</v>
      </c>
      <c r="L44" s="16">
        <v>1219.8</v>
      </c>
      <c r="M44" s="16">
        <v>100.6</v>
      </c>
      <c r="N44" s="16">
        <v>968</v>
      </c>
      <c r="O44" s="21">
        <v>5.17</v>
      </c>
      <c r="P44" s="12">
        <v>5.13</v>
      </c>
      <c r="Q44" s="15">
        <v>9.0502779077405098</v>
      </c>
      <c r="R44" s="16">
        <v>4</v>
      </c>
      <c r="S44" s="22">
        <v>6.38</v>
      </c>
      <c r="T44" s="23">
        <v>0.48518709108284935</v>
      </c>
      <c r="U44" s="24">
        <v>76.173299999999998</v>
      </c>
      <c r="V44" s="25">
        <v>16.337499999999999</v>
      </c>
      <c r="W44" s="26">
        <v>20.711678832116789</v>
      </c>
      <c r="X44" s="29">
        <v>12.68</v>
      </c>
    </row>
    <row r="45" spans="1:24" ht="15.5" x14ac:dyDescent="0.35">
      <c r="A45" s="12">
        <v>44</v>
      </c>
      <c r="B45" s="13" t="s">
        <v>80</v>
      </c>
      <c r="C45" s="19">
        <v>2021</v>
      </c>
      <c r="D45" s="36" t="s">
        <v>29</v>
      </c>
      <c r="E45" s="19">
        <v>585</v>
      </c>
      <c r="F45" s="41">
        <v>588.22</v>
      </c>
      <c r="G45" s="16">
        <v>36</v>
      </c>
      <c r="H45" s="40" t="s">
        <v>77</v>
      </c>
      <c r="I45" s="18">
        <v>0.58630000000000004</v>
      </c>
      <c r="J45" s="19">
        <v>119.62</v>
      </c>
      <c r="K45" s="20">
        <f t="shared" si="0"/>
        <v>10055042.735042736</v>
      </c>
      <c r="L45" s="16">
        <v>2239.5</v>
      </c>
      <c r="M45" s="16">
        <v>555.6</v>
      </c>
      <c r="N45" s="16">
        <v>3312.4</v>
      </c>
      <c r="O45" s="21">
        <v>0.27</v>
      </c>
      <c r="P45" s="12">
        <v>5.13</v>
      </c>
      <c r="Q45" s="15">
        <v>9.0502779077405098</v>
      </c>
      <c r="R45" s="16">
        <v>4</v>
      </c>
      <c r="S45" s="22">
        <v>6.38</v>
      </c>
      <c r="T45" s="23">
        <v>-0.40327548573039801</v>
      </c>
      <c r="U45" s="24">
        <v>76.252799999999993</v>
      </c>
      <c r="V45" s="25">
        <v>15.895</v>
      </c>
      <c r="W45" s="26">
        <v>29.059829059829063</v>
      </c>
      <c r="X45" s="29">
        <v>34.42</v>
      </c>
    </row>
    <row r="46" spans="1:24" ht="15.5" x14ac:dyDescent="0.35">
      <c r="A46" s="39">
        <v>45</v>
      </c>
      <c r="B46" s="13" t="s">
        <v>81</v>
      </c>
      <c r="C46" s="19">
        <v>2021</v>
      </c>
      <c r="D46" s="36" t="s">
        <v>48</v>
      </c>
      <c r="E46" s="19" t="s">
        <v>82</v>
      </c>
      <c r="F46" s="41">
        <v>1398.3</v>
      </c>
      <c r="G46" s="16">
        <v>15</v>
      </c>
      <c r="H46" s="40" t="s">
        <v>77</v>
      </c>
      <c r="I46" s="18">
        <v>0.43159999999999998</v>
      </c>
      <c r="J46" s="19">
        <v>52.59</v>
      </c>
      <c r="K46" s="20">
        <f>(1398.3*10000000)/796</f>
        <v>17566582.914572865</v>
      </c>
      <c r="L46" s="16">
        <v>701.1</v>
      </c>
      <c r="M46" s="16">
        <v>-85.7</v>
      </c>
      <c r="N46" s="16">
        <v>5484.9</v>
      </c>
      <c r="O46" s="21">
        <v>0.01</v>
      </c>
      <c r="P46" s="12">
        <v>5.13</v>
      </c>
      <c r="Q46" s="15">
        <v>9.0502779077405098</v>
      </c>
      <c r="R46" s="16">
        <v>4</v>
      </c>
      <c r="S46" s="22">
        <v>6.38</v>
      </c>
      <c r="T46" s="23">
        <v>0.69093292360973269</v>
      </c>
      <c r="U46" s="24">
        <v>76.043300000000002</v>
      </c>
      <c r="V46" s="25">
        <v>17.217500000000001</v>
      </c>
      <c r="W46" s="26">
        <v>40.847989949748751</v>
      </c>
      <c r="X46" s="29">
        <v>-40.659999999999997</v>
      </c>
    </row>
    <row r="47" spans="1:24" ht="15.5" x14ac:dyDescent="0.35">
      <c r="A47" s="12">
        <v>46</v>
      </c>
      <c r="B47" s="13" t="s">
        <v>83</v>
      </c>
      <c r="C47" s="19">
        <v>2021</v>
      </c>
      <c r="D47" s="36" t="s">
        <v>34</v>
      </c>
      <c r="E47" s="12">
        <v>500</v>
      </c>
      <c r="F47" s="41">
        <v>1367.51</v>
      </c>
      <c r="G47" s="16">
        <v>66</v>
      </c>
      <c r="H47" s="40" t="s">
        <v>77</v>
      </c>
      <c r="I47" s="18">
        <v>0.84019999999999995</v>
      </c>
      <c r="J47" s="19">
        <v>3.64</v>
      </c>
      <c r="K47" s="20">
        <f t="shared" ref="K47:K61" si="1">(F47*10000000)/E47</f>
        <v>27350200</v>
      </c>
      <c r="L47" s="16">
        <v>9197.6</v>
      </c>
      <c r="M47" s="16">
        <v>725.2</v>
      </c>
      <c r="N47" s="16">
        <v>16175</v>
      </c>
      <c r="O47" s="21">
        <v>0.7</v>
      </c>
      <c r="P47" s="12">
        <v>5.13</v>
      </c>
      <c r="Q47" s="15">
        <v>9.0502779077405098</v>
      </c>
      <c r="R47" s="16">
        <v>4</v>
      </c>
      <c r="S47" s="22">
        <v>6.38</v>
      </c>
      <c r="T47" s="23">
        <v>1.1007194030117864</v>
      </c>
      <c r="U47" s="24">
        <v>75.898499999999999</v>
      </c>
      <c r="V47" s="25">
        <v>16.952500000000001</v>
      </c>
      <c r="W47" s="26">
        <v>-1.3299999999999954</v>
      </c>
      <c r="X47" s="29">
        <v>69.91</v>
      </c>
    </row>
    <row r="48" spans="1:24" ht="15.5" x14ac:dyDescent="0.35">
      <c r="A48" s="12">
        <v>47</v>
      </c>
      <c r="B48" s="13" t="s">
        <v>84</v>
      </c>
      <c r="C48" s="19">
        <v>2021</v>
      </c>
      <c r="D48" s="36" t="s">
        <v>29</v>
      </c>
      <c r="E48" s="12">
        <v>1033</v>
      </c>
      <c r="F48" s="41">
        <v>1039.6099999999999</v>
      </c>
      <c r="G48" s="16">
        <v>26</v>
      </c>
      <c r="H48" s="40" t="s">
        <v>77</v>
      </c>
      <c r="I48" s="18">
        <v>0.61709999999999998</v>
      </c>
      <c r="J48" s="19">
        <v>154.71</v>
      </c>
      <c r="K48" s="20">
        <f t="shared" si="1"/>
        <v>10063988.383349465</v>
      </c>
      <c r="L48" s="16">
        <v>1534.2</v>
      </c>
      <c r="M48" s="16">
        <v>601.79999999999995</v>
      </c>
      <c r="N48" s="16">
        <v>4354.3</v>
      </c>
      <c r="O48" s="21">
        <v>7.0000000000000007E-2</v>
      </c>
      <c r="P48" s="12">
        <v>5.13</v>
      </c>
      <c r="Q48" s="15">
        <v>9.0502779077405098</v>
      </c>
      <c r="R48" s="16">
        <v>4</v>
      </c>
      <c r="S48" s="22">
        <v>6.38</v>
      </c>
      <c r="T48" s="23">
        <v>0.94286814893282733</v>
      </c>
      <c r="U48" s="24">
        <v>75.706000000000003</v>
      </c>
      <c r="V48" s="25">
        <v>16.57</v>
      </c>
      <c r="W48" s="26">
        <v>34.912875121006785</v>
      </c>
      <c r="X48" s="29">
        <v>-19.079999999999998</v>
      </c>
    </row>
    <row r="49" spans="1:24" ht="15.5" x14ac:dyDescent="0.35">
      <c r="A49" s="39">
        <v>48</v>
      </c>
      <c r="B49" s="13" t="s">
        <v>85</v>
      </c>
      <c r="C49" s="19">
        <v>2021</v>
      </c>
      <c r="D49" s="36" t="s">
        <v>40</v>
      </c>
      <c r="E49" s="12">
        <v>118</v>
      </c>
      <c r="F49" s="15">
        <v>600</v>
      </c>
      <c r="G49" s="16">
        <v>21</v>
      </c>
      <c r="H49" s="40" t="s">
        <v>79</v>
      </c>
      <c r="I49" s="30">
        <v>0.32</v>
      </c>
      <c r="J49" s="12">
        <v>4.5999999999999996</v>
      </c>
      <c r="K49" s="20">
        <f t="shared" si="1"/>
        <v>50847457.627118647</v>
      </c>
      <c r="L49" s="16">
        <v>1245.7</v>
      </c>
      <c r="M49" s="16">
        <v>150.6</v>
      </c>
      <c r="N49" s="16">
        <v>19645</v>
      </c>
      <c r="O49" s="21">
        <v>0.22</v>
      </c>
      <c r="P49" s="12">
        <v>5.13</v>
      </c>
      <c r="Q49" s="15">
        <v>9.0502779077405098</v>
      </c>
      <c r="R49" s="16">
        <v>4</v>
      </c>
      <c r="S49" s="22">
        <v>6.38</v>
      </c>
      <c r="T49" s="23">
        <v>-2.1842545274709746</v>
      </c>
      <c r="U49" s="24">
        <v>75.718900000000005</v>
      </c>
      <c r="V49" s="25">
        <v>16.059999999999999</v>
      </c>
      <c r="W49" s="26">
        <v>-15.593220338983055</v>
      </c>
      <c r="X49" s="29">
        <v>-19.03</v>
      </c>
    </row>
    <row r="50" spans="1:24" ht="15.5" x14ac:dyDescent="0.35">
      <c r="A50" s="12">
        <v>49</v>
      </c>
      <c r="B50" s="13" t="s">
        <v>86</v>
      </c>
      <c r="C50" s="19">
        <v>2021</v>
      </c>
      <c r="D50" s="36" t="s">
        <v>29</v>
      </c>
      <c r="E50" s="19">
        <v>425</v>
      </c>
      <c r="F50" s="41">
        <v>1335.74</v>
      </c>
      <c r="G50" s="16">
        <v>17</v>
      </c>
      <c r="H50" s="40" t="s">
        <v>77</v>
      </c>
      <c r="I50" s="18">
        <v>0.67290000000000005</v>
      </c>
      <c r="J50" s="19">
        <v>17.41</v>
      </c>
      <c r="K50" s="20">
        <f t="shared" si="1"/>
        <v>31429176.470588237</v>
      </c>
      <c r="L50" s="16">
        <v>803.5</v>
      </c>
      <c r="M50" s="16">
        <v>41</v>
      </c>
      <c r="N50" s="16">
        <v>3237.5</v>
      </c>
      <c r="O50" s="21">
        <v>0.03</v>
      </c>
      <c r="P50" s="12">
        <v>5.13</v>
      </c>
      <c r="Q50" s="15">
        <v>9.0502779077405098</v>
      </c>
      <c r="R50" s="16">
        <v>4</v>
      </c>
      <c r="S50" s="22">
        <v>6.38</v>
      </c>
      <c r="T50" s="23">
        <v>-1.5259386377866972</v>
      </c>
      <c r="U50" s="24">
        <v>75.499200000000002</v>
      </c>
      <c r="V50" s="25">
        <v>16.602499999999999</v>
      </c>
      <c r="W50" s="26">
        <v>-19.988235294117647</v>
      </c>
      <c r="X50" s="29">
        <v>-13.19</v>
      </c>
    </row>
    <row r="51" spans="1:24" ht="15.5" x14ac:dyDescent="0.35">
      <c r="A51" s="12">
        <v>50</v>
      </c>
      <c r="B51" s="13" t="s">
        <v>87</v>
      </c>
      <c r="C51" s="19">
        <v>2021</v>
      </c>
      <c r="D51" s="36" t="s">
        <v>64</v>
      </c>
      <c r="E51" s="19">
        <v>550</v>
      </c>
      <c r="F51" s="41">
        <v>660</v>
      </c>
      <c r="G51" s="16">
        <v>38</v>
      </c>
      <c r="H51" s="40" t="s">
        <v>77</v>
      </c>
      <c r="I51" s="18">
        <v>0.74729999999999996</v>
      </c>
      <c r="J51" s="19">
        <v>9.7799999999999994</v>
      </c>
      <c r="K51" s="20">
        <f t="shared" si="1"/>
        <v>12000000</v>
      </c>
      <c r="L51" s="12">
        <v>2653.3</v>
      </c>
      <c r="M51" s="16">
        <v>442.2</v>
      </c>
      <c r="N51" s="16">
        <v>3624.6</v>
      </c>
      <c r="O51" s="21">
        <v>0.18</v>
      </c>
      <c r="P51" s="12">
        <v>5.13</v>
      </c>
      <c r="Q51" s="15">
        <v>9.0502779077405098</v>
      </c>
      <c r="R51" s="16">
        <v>4</v>
      </c>
      <c r="S51" s="22">
        <v>6.38</v>
      </c>
      <c r="T51" s="23">
        <v>-0.24959336720739594</v>
      </c>
      <c r="U51" s="24">
        <v>75.297799999999995</v>
      </c>
      <c r="V51" s="25">
        <v>20.077500000000001</v>
      </c>
      <c r="W51" s="26">
        <v>6.0999999999999917</v>
      </c>
      <c r="X51" s="29">
        <v>17.59</v>
      </c>
    </row>
    <row r="52" spans="1:24" ht="15.5" x14ac:dyDescent="0.35">
      <c r="A52" s="39">
        <v>51</v>
      </c>
      <c r="B52" s="13" t="s">
        <v>88</v>
      </c>
      <c r="C52" s="19">
        <v>2021</v>
      </c>
      <c r="D52" s="36" t="s">
        <v>25</v>
      </c>
      <c r="E52" s="19">
        <v>453</v>
      </c>
      <c r="F52" s="41">
        <v>619.23</v>
      </c>
      <c r="G52" s="16">
        <v>45</v>
      </c>
      <c r="H52" s="40" t="s">
        <v>79</v>
      </c>
      <c r="I52" s="18">
        <v>0.85170000000000001</v>
      </c>
      <c r="J52" s="19">
        <v>219.04</v>
      </c>
      <c r="K52" s="20">
        <f t="shared" si="1"/>
        <v>13669536.423841059</v>
      </c>
      <c r="L52" s="16">
        <v>4971.3</v>
      </c>
      <c r="M52" s="16">
        <v>2735.6</v>
      </c>
      <c r="N52" s="16">
        <v>13519.5</v>
      </c>
      <c r="O52" s="21">
        <v>0.28000000000000003</v>
      </c>
      <c r="P52" s="12">
        <v>5.13</v>
      </c>
      <c r="Q52" s="15">
        <v>9.0502779077405098</v>
      </c>
      <c r="R52" s="16">
        <v>4</v>
      </c>
      <c r="S52" s="22">
        <v>6.38</v>
      </c>
      <c r="T52" s="23">
        <v>-0.81690108672685213</v>
      </c>
      <c r="U52" s="24">
        <v>74.985200000000006</v>
      </c>
      <c r="V52" s="25">
        <v>18.454999999999998</v>
      </c>
      <c r="W52" s="26">
        <v>60.275938189845469</v>
      </c>
      <c r="X52" s="29">
        <v>-15.07</v>
      </c>
    </row>
    <row r="53" spans="1:24" ht="15.5" x14ac:dyDescent="0.35">
      <c r="A53" s="12">
        <v>52</v>
      </c>
      <c r="B53" s="13" t="s">
        <v>89</v>
      </c>
      <c r="C53" s="19">
        <v>2021</v>
      </c>
      <c r="D53" s="36" t="s">
        <v>64</v>
      </c>
      <c r="E53" s="12">
        <v>900</v>
      </c>
      <c r="F53" s="41">
        <v>7249.18</v>
      </c>
      <c r="G53" s="16">
        <v>15</v>
      </c>
      <c r="H53" s="40" t="s">
        <v>77</v>
      </c>
      <c r="I53" s="18">
        <v>0.66220000000000001</v>
      </c>
      <c r="J53" s="19">
        <v>0.79</v>
      </c>
      <c r="K53" s="20">
        <f t="shared" si="1"/>
        <v>80546444.444444448</v>
      </c>
      <c r="L53" s="42">
        <v>11208.89</v>
      </c>
      <c r="M53" s="34">
        <v>107.99</v>
      </c>
      <c r="N53" s="32">
        <v>19491.5</v>
      </c>
      <c r="O53" s="21">
        <v>0.1</v>
      </c>
      <c r="P53" s="12">
        <v>5.13</v>
      </c>
      <c r="Q53" s="15">
        <v>9.0502779077405098</v>
      </c>
      <c r="R53" s="16">
        <v>4</v>
      </c>
      <c r="S53" s="22">
        <v>6.38</v>
      </c>
      <c r="T53" s="23">
        <v>-3.168377876158826E-2</v>
      </c>
      <c r="U53" s="24">
        <v>74.998900000000006</v>
      </c>
      <c r="V53" s="25">
        <v>18.087499999999999</v>
      </c>
      <c r="W53" s="26">
        <v>0.76111111111111363</v>
      </c>
      <c r="X53" s="29">
        <v>-33.630000000000003</v>
      </c>
    </row>
    <row r="54" spans="1:24" ht="15.5" x14ac:dyDescent="0.35">
      <c r="A54" s="12">
        <v>53</v>
      </c>
      <c r="B54" s="13" t="s">
        <v>90</v>
      </c>
      <c r="C54" s="19">
        <v>2021</v>
      </c>
      <c r="D54" s="36" t="s">
        <v>34</v>
      </c>
      <c r="E54" s="12">
        <v>690</v>
      </c>
      <c r="F54" s="41">
        <v>1013.61</v>
      </c>
      <c r="G54" s="16">
        <v>11</v>
      </c>
      <c r="H54" s="40" t="s">
        <v>77</v>
      </c>
      <c r="I54" s="18">
        <v>0.57469999999999999</v>
      </c>
      <c r="J54" s="19">
        <v>135.46</v>
      </c>
      <c r="K54" s="20">
        <f t="shared" si="1"/>
        <v>14690000</v>
      </c>
      <c r="L54" s="16">
        <v>2698.3</v>
      </c>
      <c r="M54" s="16">
        <v>-35.4</v>
      </c>
      <c r="N54" s="16">
        <v>5517.3</v>
      </c>
      <c r="O54" s="21">
        <v>0.78</v>
      </c>
      <c r="P54" s="12">
        <v>5.13</v>
      </c>
      <c r="Q54" s="15">
        <v>9.0502779077405098</v>
      </c>
      <c r="R54" s="16">
        <v>4</v>
      </c>
      <c r="S54" s="22">
        <v>6.38</v>
      </c>
      <c r="T54" s="23">
        <v>-0.41485990049226129</v>
      </c>
      <c r="U54" s="24">
        <v>74.383600000000001</v>
      </c>
      <c r="V54" s="25">
        <v>17.52</v>
      </c>
      <c r="W54" s="26">
        <v>81.695652173913047</v>
      </c>
      <c r="X54" s="29">
        <v>-10.050000000000001</v>
      </c>
    </row>
    <row r="55" spans="1:24" ht="15.5" x14ac:dyDescent="0.35">
      <c r="A55" s="39">
        <v>54</v>
      </c>
      <c r="B55" s="13" t="s">
        <v>91</v>
      </c>
      <c r="C55" s="19">
        <v>2021</v>
      </c>
      <c r="D55" s="36" t="s">
        <v>48</v>
      </c>
      <c r="E55" s="12">
        <v>662</v>
      </c>
      <c r="F55" s="41">
        <v>1023.47</v>
      </c>
      <c r="G55" s="16">
        <v>38</v>
      </c>
      <c r="H55" s="40" t="s">
        <v>92</v>
      </c>
      <c r="I55" s="18">
        <v>0.50749999999999995</v>
      </c>
      <c r="J55" s="19">
        <v>77.489999999999995</v>
      </c>
      <c r="K55" s="20">
        <f t="shared" si="1"/>
        <v>15460271.903323263</v>
      </c>
      <c r="L55" s="16">
        <v>2313.3000000000002</v>
      </c>
      <c r="M55" s="16">
        <v>688.7</v>
      </c>
      <c r="N55" s="16">
        <v>3924.1</v>
      </c>
      <c r="O55" s="21">
        <v>0.16</v>
      </c>
      <c r="P55" s="12">
        <v>5.13</v>
      </c>
      <c r="Q55" s="15">
        <v>9.0502779077405098</v>
      </c>
      <c r="R55" s="16">
        <v>4</v>
      </c>
      <c r="S55" s="22">
        <v>6.38</v>
      </c>
      <c r="T55" s="23">
        <v>-2.9071209637180089</v>
      </c>
      <c r="U55" s="24">
        <v>74.375299999999996</v>
      </c>
      <c r="V55" s="25">
        <v>14.98</v>
      </c>
      <c r="W55" s="26">
        <v>23.625377643504528</v>
      </c>
      <c r="X55" s="29">
        <v>-15.38</v>
      </c>
    </row>
    <row r="56" spans="1:24" ht="15.5" x14ac:dyDescent="0.35">
      <c r="A56" s="12">
        <v>55</v>
      </c>
      <c r="B56" s="13" t="s">
        <v>93</v>
      </c>
      <c r="C56" s="19">
        <v>2021</v>
      </c>
      <c r="D56" s="36" t="s">
        <v>29</v>
      </c>
      <c r="E56" s="12">
        <v>197</v>
      </c>
      <c r="F56" s="41">
        <v>600</v>
      </c>
      <c r="G56" s="16">
        <v>15</v>
      </c>
      <c r="H56" s="40" t="s">
        <v>94</v>
      </c>
      <c r="I56" s="18">
        <v>0.79300000000000004</v>
      </c>
      <c r="J56" s="19">
        <v>326.49</v>
      </c>
      <c r="K56" s="20">
        <f t="shared" si="1"/>
        <v>30456852.791878171</v>
      </c>
      <c r="L56" s="16">
        <v>1481.3</v>
      </c>
      <c r="M56" s="16">
        <v>679.2</v>
      </c>
      <c r="N56" s="16">
        <v>3625.7</v>
      </c>
      <c r="O56" s="21">
        <v>0.05</v>
      </c>
      <c r="P56" s="12">
        <v>5.13</v>
      </c>
      <c r="Q56" s="15">
        <v>9.0502779077405098</v>
      </c>
      <c r="R56" s="16">
        <v>4</v>
      </c>
      <c r="S56" s="22">
        <v>6.38</v>
      </c>
      <c r="T56" s="23">
        <v>0.49836979256931457</v>
      </c>
      <c r="U56" s="24">
        <v>74.469399999999993</v>
      </c>
      <c r="V56" s="25">
        <v>15.217499999999999</v>
      </c>
      <c r="W56" s="26">
        <v>148.09644670050761</v>
      </c>
      <c r="X56" s="29">
        <v>-22.13</v>
      </c>
    </row>
    <row r="57" spans="1:24" ht="15.5" x14ac:dyDescent="0.35">
      <c r="A57" s="12">
        <v>56</v>
      </c>
      <c r="B57" s="13" t="s">
        <v>95</v>
      </c>
      <c r="C57" s="19">
        <v>2021</v>
      </c>
      <c r="D57" s="36" t="s">
        <v>34</v>
      </c>
      <c r="E57" s="12">
        <v>1180</v>
      </c>
      <c r="F57" s="41">
        <v>2073.25</v>
      </c>
      <c r="G57" s="16">
        <v>12</v>
      </c>
      <c r="H57" s="40" t="s">
        <v>96</v>
      </c>
      <c r="I57" s="18">
        <v>0.6008</v>
      </c>
      <c r="J57" s="19">
        <v>6.62</v>
      </c>
      <c r="K57" s="20">
        <f t="shared" si="1"/>
        <v>17569915.254237287</v>
      </c>
      <c r="L57" s="16">
        <v>8051.7</v>
      </c>
      <c r="M57" s="16">
        <v>-967</v>
      </c>
      <c r="N57" s="16">
        <v>12625</v>
      </c>
      <c r="O57" s="21">
        <v>1.05</v>
      </c>
      <c r="P57" s="12">
        <v>5.13</v>
      </c>
      <c r="Q57" s="15">
        <v>9.0502779077405098</v>
      </c>
      <c r="R57" s="16">
        <v>4</v>
      </c>
      <c r="S57" s="22">
        <v>6.38</v>
      </c>
      <c r="T57" s="23">
        <v>-0.74781956782228265</v>
      </c>
      <c r="U57" s="24">
        <v>74.474900000000005</v>
      </c>
      <c r="V57" s="25">
        <v>16.352499999999999</v>
      </c>
      <c r="W57" s="26">
        <v>2.6737288135593182</v>
      </c>
      <c r="X57" s="29">
        <v>10.81</v>
      </c>
    </row>
    <row r="58" spans="1:24" ht="15.5" x14ac:dyDescent="0.35">
      <c r="A58" s="39">
        <v>57</v>
      </c>
      <c r="B58" s="13" t="s">
        <v>97</v>
      </c>
      <c r="C58" s="19">
        <v>2021</v>
      </c>
      <c r="D58" s="36" t="s">
        <v>29</v>
      </c>
      <c r="E58" s="12">
        <v>2150</v>
      </c>
      <c r="F58" s="41">
        <v>18300</v>
      </c>
      <c r="G58" s="16">
        <v>21</v>
      </c>
      <c r="H58" s="40" t="s">
        <v>77</v>
      </c>
      <c r="I58" s="43">
        <v>0.13420000000000001</v>
      </c>
      <c r="J58" s="19">
        <v>1.89</v>
      </c>
      <c r="K58" s="20">
        <f t="shared" si="1"/>
        <v>85116279.069767445</v>
      </c>
      <c r="L58" s="16">
        <v>26671</v>
      </c>
      <c r="M58" s="16">
        <v>-15601</v>
      </c>
      <c r="N58" s="16">
        <v>96663</v>
      </c>
      <c r="O58" s="21">
        <v>0.06</v>
      </c>
      <c r="P58" s="12">
        <v>5.13</v>
      </c>
      <c r="Q58" s="15">
        <v>9.0502779077405098</v>
      </c>
      <c r="R58" s="16">
        <v>4</v>
      </c>
      <c r="S58" s="22">
        <v>6.38</v>
      </c>
      <c r="T58" s="23">
        <v>-0.55863593937507927</v>
      </c>
      <c r="U58" s="24">
        <v>74.165899999999993</v>
      </c>
      <c r="V58" s="25">
        <v>16.305</v>
      </c>
      <c r="W58" s="26">
        <v>-27.404651162790699</v>
      </c>
      <c r="X58" s="29">
        <v>-65.42</v>
      </c>
    </row>
    <row r="59" spans="1:24" ht="15.5" x14ac:dyDescent="0.35">
      <c r="A59" s="12">
        <v>58</v>
      </c>
      <c r="B59" s="13" t="s">
        <v>98</v>
      </c>
      <c r="C59" s="19">
        <v>2021</v>
      </c>
      <c r="D59" s="36" t="s">
        <v>34</v>
      </c>
      <c r="E59" s="12">
        <v>542</v>
      </c>
      <c r="F59" s="15">
        <v>800</v>
      </c>
      <c r="G59" s="16">
        <v>34</v>
      </c>
      <c r="H59" s="40" t="s">
        <v>99</v>
      </c>
      <c r="I59" s="18">
        <v>0.98860000000000003</v>
      </c>
      <c r="J59" s="19">
        <v>1.59</v>
      </c>
      <c r="K59" s="20">
        <f t="shared" si="1"/>
        <v>14760147.601476016</v>
      </c>
      <c r="L59" s="16">
        <v>2516.1</v>
      </c>
      <c r="M59" s="16">
        <v>477.7</v>
      </c>
      <c r="N59" s="16">
        <v>3892</v>
      </c>
      <c r="O59" s="21">
        <v>0.03</v>
      </c>
      <c r="P59" s="12">
        <v>5.13</v>
      </c>
      <c r="Q59" s="15">
        <v>9.0502779077405098</v>
      </c>
      <c r="R59" s="16">
        <v>4</v>
      </c>
      <c r="S59" s="22">
        <v>6.38</v>
      </c>
      <c r="T59" s="23">
        <v>3.7010951374795147E-2</v>
      </c>
      <c r="U59" s="24">
        <v>74.568399999999997</v>
      </c>
      <c r="V59" s="25">
        <v>16.125</v>
      </c>
      <c r="W59" s="26">
        <v>-5.8671586715867186</v>
      </c>
      <c r="X59" s="29">
        <v>-7.2</v>
      </c>
    </row>
    <row r="60" spans="1:24" ht="15.5" x14ac:dyDescent="0.35">
      <c r="A60" s="12">
        <v>59</v>
      </c>
      <c r="B60" s="13" t="s">
        <v>100</v>
      </c>
      <c r="C60" s="19">
        <v>2021</v>
      </c>
      <c r="D60" s="36" t="s">
        <v>64</v>
      </c>
      <c r="E60" s="12">
        <v>980</v>
      </c>
      <c r="F60" s="41">
        <v>5625</v>
      </c>
      <c r="G60" s="16">
        <v>13</v>
      </c>
      <c r="H60" s="40" t="s">
        <v>99</v>
      </c>
      <c r="I60" s="43">
        <v>0.40799999999999997</v>
      </c>
      <c r="J60" s="19">
        <v>16.59</v>
      </c>
      <c r="K60" s="20">
        <f t="shared" si="1"/>
        <v>57397959.183673471</v>
      </c>
      <c r="L60" s="16">
        <v>1249.3</v>
      </c>
      <c r="M60" s="16">
        <v>190.1</v>
      </c>
      <c r="N60" s="16">
        <v>30105.9</v>
      </c>
      <c r="O60" s="21">
        <v>0</v>
      </c>
      <c r="P60" s="12">
        <v>5.13</v>
      </c>
      <c r="Q60" s="15">
        <v>9.0502779077405098</v>
      </c>
      <c r="R60" s="16">
        <v>4</v>
      </c>
      <c r="S60" s="22">
        <v>6.38</v>
      </c>
      <c r="T60" s="23">
        <v>3.7010951374795147E-2</v>
      </c>
      <c r="U60" s="24">
        <v>74.568399999999997</v>
      </c>
      <c r="V60" s="25">
        <v>16.125</v>
      </c>
      <c r="W60" s="26">
        <v>22.683673469387749</v>
      </c>
      <c r="X60" s="29">
        <v>-67.72</v>
      </c>
    </row>
    <row r="61" spans="1:24" ht="15.5" x14ac:dyDescent="0.35">
      <c r="A61" s="39">
        <v>60</v>
      </c>
      <c r="B61" s="13" t="s">
        <v>101</v>
      </c>
      <c r="C61" s="19">
        <v>2021</v>
      </c>
      <c r="D61" s="14" t="s">
        <v>25</v>
      </c>
      <c r="E61" s="12">
        <v>163</v>
      </c>
      <c r="F61" s="41">
        <v>125.43</v>
      </c>
      <c r="G61" s="16">
        <v>32</v>
      </c>
      <c r="H61" s="40" t="s">
        <v>99</v>
      </c>
      <c r="I61" s="30">
        <v>0.65</v>
      </c>
      <c r="J61" s="19">
        <v>101.91</v>
      </c>
      <c r="K61" s="20">
        <f t="shared" si="1"/>
        <v>7695092.0245398777</v>
      </c>
      <c r="L61" s="16">
        <v>1910.8</v>
      </c>
      <c r="M61" s="16">
        <v>290.60000000000002</v>
      </c>
      <c r="N61" s="16">
        <v>1339.8</v>
      </c>
      <c r="O61" s="21">
        <v>0.3</v>
      </c>
      <c r="P61" s="12">
        <v>5.13</v>
      </c>
      <c r="Q61" s="15">
        <v>9.0502779077405098</v>
      </c>
      <c r="R61" s="16">
        <v>4</v>
      </c>
      <c r="S61" s="22">
        <v>6.38</v>
      </c>
      <c r="T61" s="23">
        <v>3.7010951374795147E-2</v>
      </c>
      <c r="U61" s="24">
        <v>74.568399999999997</v>
      </c>
      <c r="V61" s="25">
        <v>16.125</v>
      </c>
      <c r="W61" s="26">
        <v>267.17791411042941</v>
      </c>
      <c r="X61" s="29">
        <v>-54.06</v>
      </c>
    </row>
    <row r="62" spans="1:24" ht="15.5" x14ac:dyDescent="0.35">
      <c r="A62" s="12">
        <v>61</v>
      </c>
      <c r="B62" s="13" t="s">
        <v>102</v>
      </c>
      <c r="C62" s="19">
        <v>2021</v>
      </c>
      <c r="D62" s="14" t="s">
        <v>32</v>
      </c>
      <c r="E62" s="12">
        <v>577</v>
      </c>
      <c r="F62" s="41" t="s">
        <v>103</v>
      </c>
      <c r="G62" s="16">
        <v>4</v>
      </c>
      <c r="H62" s="40" t="s">
        <v>79</v>
      </c>
      <c r="I62" s="30">
        <v>1</v>
      </c>
      <c r="J62" s="19">
        <v>2.0299999999999998</v>
      </c>
      <c r="K62" s="20">
        <f>(1200.29*10000000)/577</f>
        <v>20802253.032928944</v>
      </c>
      <c r="L62" s="12"/>
      <c r="M62" s="16">
        <v>204.7</v>
      </c>
      <c r="N62" s="16">
        <v>10103</v>
      </c>
      <c r="O62" s="21">
        <v>7.01</v>
      </c>
      <c r="P62" s="12">
        <v>5.13</v>
      </c>
      <c r="Q62" s="15">
        <v>9.0502779077405098</v>
      </c>
      <c r="R62" s="16">
        <v>4</v>
      </c>
      <c r="S62" s="22">
        <v>6.38</v>
      </c>
      <c r="T62" s="23">
        <v>1.2820584549279468</v>
      </c>
      <c r="U62" s="24">
        <v>74.761600000000001</v>
      </c>
      <c r="V62" s="25">
        <v>17.0625</v>
      </c>
      <c r="W62" s="26">
        <v>-5.7365684575389988</v>
      </c>
      <c r="X62" s="29">
        <v>-64.23</v>
      </c>
    </row>
    <row r="63" spans="1:24" ht="15.5" x14ac:dyDescent="0.35">
      <c r="A63" s="12">
        <v>62</v>
      </c>
      <c r="B63" s="13" t="s">
        <v>104</v>
      </c>
      <c r="C63" s="19">
        <v>2021</v>
      </c>
      <c r="D63" s="14" t="s">
        <v>34</v>
      </c>
      <c r="E63" s="12">
        <v>1125</v>
      </c>
      <c r="F63" s="41">
        <v>5351.92</v>
      </c>
      <c r="G63" s="16">
        <v>9</v>
      </c>
      <c r="H63" s="40" t="s">
        <v>92</v>
      </c>
      <c r="I63" s="18">
        <v>0.54220000000000002</v>
      </c>
      <c r="J63" s="19">
        <v>81.78</v>
      </c>
      <c r="K63" s="20">
        <f>(F63*10000000)/E63</f>
        <v>47572622.222222224</v>
      </c>
      <c r="L63" s="16">
        <v>1720.6</v>
      </c>
      <c r="M63" s="16">
        <v>361.9</v>
      </c>
      <c r="N63" s="16">
        <v>6472.9</v>
      </c>
      <c r="O63" s="21">
        <v>0.09</v>
      </c>
      <c r="P63" s="12">
        <v>5.13</v>
      </c>
      <c r="Q63" s="15">
        <v>9.0502779077405098</v>
      </c>
      <c r="R63" s="16">
        <v>4</v>
      </c>
      <c r="S63" s="22">
        <v>6.38</v>
      </c>
      <c r="T63" s="23">
        <v>-0.14990925086938647</v>
      </c>
      <c r="U63" s="24">
        <v>74.9298</v>
      </c>
      <c r="V63" s="25">
        <v>17.234999999999999</v>
      </c>
      <c r="W63" s="26">
        <v>96.071111111111122</v>
      </c>
      <c r="X63" s="29">
        <v>-51.93</v>
      </c>
    </row>
    <row r="64" spans="1:24" ht="15.5" x14ac:dyDescent="0.35">
      <c r="A64" s="39">
        <v>63</v>
      </c>
      <c r="B64" s="13" t="s">
        <v>105</v>
      </c>
      <c r="C64" s="19">
        <v>2021</v>
      </c>
      <c r="D64" s="14" t="s">
        <v>32</v>
      </c>
      <c r="E64" s="12">
        <v>712</v>
      </c>
      <c r="F64" s="41">
        <v>2768.26</v>
      </c>
      <c r="G64" s="16">
        <v>27</v>
      </c>
      <c r="H64" s="40" t="s">
        <v>79</v>
      </c>
      <c r="I64" s="30">
        <v>1</v>
      </c>
      <c r="J64" s="19">
        <v>5.25</v>
      </c>
      <c r="K64" s="20">
        <f>(F64*10000000)/E64</f>
        <v>38880056.179775283</v>
      </c>
      <c r="L64" s="44">
        <v>11910.28</v>
      </c>
      <c r="M64" s="16">
        <v>5158.3999999999996</v>
      </c>
      <c r="N64" s="16">
        <v>20178</v>
      </c>
      <c r="O64" s="21">
        <v>0.33</v>
      </c>
      <c r="P64" s="12">
        <v>5.13</v>
      </c>
      <c r="Q64" s="15">
        <v>9.0502779077405098</v>
      </c>
      <c r="R64" s="16">
        <v>4</v>
      </c>
      <c r="S64" s="22">
        <v>6.38</v>
      </c>
      <c r="T64" s="23">
        <v>-0.79701405448503249</v>
      </c>
      <c r="U64" s="24">
        <v>74.9298</v>
      </c>
      <c r="V64" s="25">
        <v>17.234999999999999</v>
      </c>
      <c r="W64" s="26">
        <v>-1.7626404494381958</v>
      </c>
      <c r="X64" s="29">
        <v>-36.299999999999997</v>
      </c>
    </row>
    <row r="65" spans="1:24" ht="15.5" x14ac:dyDescent="0.35">
      <c r="A65" s="12">
        <v>64</v>
      </c>
      <c r="B65" s="13" t="s">
        <v>106</v>
      </c>
      <c r="C65" s="19">
        <v>2021</v>
      </c>
      <c r="D65" s="14" t="s">
        <v>27</v>
      </c>
      <c r="E65" s="12">
        <v>175</v>
      </c>
      <c r="F65" s="15" t="s">
        <v>107</v>
      </c>
      <c r="G65" s="16">
        <v>12</v>
      </c>
      <c r="H65" s="40" t="s">
        <v>77</v>
      </c>
      <c r="I65" s="18">
        <v>0.79400000000000004</v>
      </c>
      <c r="J65" s="19">
        <v>304.26</v>
      </c>
      <c r="K65" s="20">
        <f>(170.78*10000000)/175</f>
        <v>9758857.1428571437</v>
      </c>
      <c r="L65" s="16">
        <v>1333.2</v>
      </c>
      <c r="M65" s="16">
        <v>150.80000000000001</v>
      </c>
      <c r="N65" s="16">
        <v>3697.3</v>
      </c>
      <c r="O65" s="21">
        <v>0.7</v>
      </c>
      <c r="P65" s="12">
        <v>5.13</v>
      </c>
      <c r="Q65" s="15">
        <v>9.0502779077405098</v>
      </c>
      <c r="R65" s="16">
        <v>4</v>
      </c>
      <c r="S65" s="22">
        <v>6.38</v>
      </c>
      <c r="T65" s="23">
        <v>-0.48869834851665445</v>
      </c>
      <c r="U65" s="24">
        <v>73.726100000000002</v>
      </c>
      <c r="V65" s="25">
        <v>16.602499999999999</v>
      </c>
      <c r="W65" s="26">
        <v>181.39999999999998</v>
      </c>
      <c r="X65" s="29">
        <v>41.7</v>
      </c>
    </row>
    <row r="66" spans="1:24" ht="15.5" x14ac:dyDescent="0.35">
      <c r="A66" s="12">
        <v>65</v>
      </c>
      <c r="B66" s="13" t="s">
        <v>108</v>
      </c>
      <c r="C66" s="19">
        <v>2021</v>
      </c>
      <c r="D66" s="14" t="s">
        <v>27</v>
      </c>
      <c r="E66" s="12">
        <v>744</v>
      </c>
      <c r="F66" s="41">
        <v>1282.98</v>
      </c>
      <c r="G66" s="16">
        <v>40</v>
      </c>
      <c r="H66" s="40" t="s">
        <v>77</v>
      </c>
      <c r="I66" s="18">
        <v>0.43909999999999999</v>
      </c>
      <c r="J66" s="19">
        <v>11.47</v>
      </c>
      <c r="K66" s="20">
        <f t="shared" ref="K66:K73" si="2">(F66*10000000)/E66</f>
        <v>17244354.838709679</v>
      </c>
      <c r="L66" s="16">
        <v>13513.3</v>
      </c>
      <c r="M66" s="16">
        <v>978.8</v>
      </c>
      <c r="N66" s="16">
        <v>17389.2</v>
      </c>
      <c r="O66" s="21">
        <v>0.66</v>
      </c>
      <c r="P66" s="12">
        <v>5.13</v>
      </c>
      <c r="Q66" s="15">
        <v>9.0502779077405098</v>
      </c>
      <c r="R66" s="16">
        <v>4</v>
      </c>
      <c r="S66" s="22">
        <v>6.38</v>
      </c>
      <c r="T66" s="23">
        <v>0.16972499684705522</v>
      </c>
      <c r="U66" s="24">
        <v>73.431100000000001</v>
      </c>
      <c r="V66" s="25">
        <v>14.4125</v>
      </c>
      <c r="W66" s="26">
        <v>10.020161290322575</v>
      </c>
      <c r="X66" s="29">
        <v>-13.76</v>
      </c>
    </row>
    <row r="67" spans="1:24" ht="15.5" x14ac:dyDescent="0.35">
      <c r="A67" s="39">
        <v>66</v>
      </c>
      <c r="B67" s="13" t="s">
        <v>109</v>
      </c>
      <c r="C67" s="19">
        <v>2021</v>
      </c>
      <c r="D67" s="14" t="s">
        <v>48</v>
      </c>
      <c r="E67" s="12">
        <v>531</v>
      </c>
      <c r="F67" s="41">
        <v>1895.04</v>
      </c>
      <c r="G67" s="16">
        <v>40</v>
      </c>
      <c r="H67" s="40" t="s">
        <v>94</v>
      </c>
      <c r="I67" s="18">
        <v>0.5978</v>
      </c>
      <c r="J67" s="19">
        <v>4.54</v>
      </c>
      <c r="K67" s="20">
        <f t="shared" si="2"/>
        <v>35688135.593220338</v>
      </c>
      <c r="L67" s="16">
        <v>3673.7</v>
      </c>
      <c r="M67" s="16">
        <v>828.2</v>
      </c>
      <c r="N67" s="16">
        <v>5355.2</v>
      </c>
      <c r="O67" s="21">
        <v>0.46</v>
      </c>
      <c r="P67" s="12">
        <v>5.13</v>
      </c>
      <c r="Q67" s="15">
        <v>9.0502779077405098</v>
      </c>
      <c r="R67" s="16">
        <v>4</v>
      </c>
      <c r="S67" s="22">
        <v>6.38</v>
      </c>
      <c r="T67" s="23">
        <v>0.14231513075842592</v>
      </c>
      <c r="U67" s="24">
        <v>73.065100000000001</v>
      </c>
      <c r="V67" s="25">
        <v>14.5425</v>
      </c>
      <c r="W67" s="26">
        <v>16.779661016949156</v>
      </c>
      <c r="X67" s="29">
        <v>-32.700000000000003</v>
      </c>
    </row>
    <row r="68" spans="1:24" ht="15.5" x14ac:dyDescent="0.35">
      <c r="A68" s="12">
        <v>67</v>
      </c>
      <c r="B68" s="13" t="s">
        <v>110</v>
      </c>
      <c r="C68" s="19">
        <v>2021</v>
      </c>
      <c r="D68" s="14" t="s">
        <v>25</v>
      </c>
      <c r="E68" s="12">
        <v>610</v>
      </c>
      <c r="F68" s="41">
        <v>569.64</v>
      </c>
      <c r="G68" s="16">
        <v>17</v>
      </c>
      <c r="H68" s="40" t="s">
        <v>94</v>
      </c>
      <c r="I68" s="18">
        <v>0.4723</v>
      </c>
      <c r="J68" s="19">
        <v>64.540000000000006</v>
      </c>
      <c r="K68" s="20">
        <f t="shared" si="2"/>
        <v>9338360.6557377055</v>
      </c>
      <c r="L68" s="16">
        <v>3406.1</v>
      </c>
      <c r="M68" s="16">
        <v>540</v>
      </c>
      <c r="N68" s="16">
        <v>4114.2</v>
      </c>
      <c r="O68" s="21">
        <v>0.72</v>
      </c>
      <c r="P68" s="12">
        <v>5.13</v>
      </c>
      <c r="Q68" s="15">
        <v>9.0502779077405098</v>
      </c>
      <c r="R68" s="16">
        <v>4</v>
      </c>
      <c r="S68" s="22">
        <v>6.38</v>
      </c>
      <c r="T68" s="23">
        <v>0.14231963722897747</v>
      </c>
      <c r="U68" s="24">
        <v>73.065100000000001</v>
      </c>
      <c r="V68" s="25">
        <v>14.5425</v>
      </c>
      <c r="W68" s="26">
        <v>53.278688524590166</v>
      </c>
      <c r="X68" s="29">
        <v>18.79</v>
      </c>
    </row>
    <row r="69" spans="1:24" ht="15.5" x14ac:dyDescent="0.35">
      <c r="A69" s="12">
        <v>68</v>
      </c>
      <c r="B69" s="13" t="s">
        <v>111</v>
      </c>
      <c r="C69" s="19">
        <v>2021</v>
      </c>
      <c r="D69" s="14" t="s">
        <v>32</v>
      </c>
      <c r="E69" s="12">
        <v>353</v>
      </c>
      <c r="F69" s="41">
        <v>2780.05</v>
      </c>
      <c r="G69" s="16">
        <v>12</v>
      </c>
      <c r="H69" s="40" t="s">
        <v>99</v>
      </c>
      <c r="I69" s="18">
        <v>0.74870000000000003</v>
      </c>
      <c r="J69" s="19">
        <v>17.2</v>
      </c>
      <c r="K69" s="20">
        <f t="shared" si="2"/>
        <v>78754957.507082149</v>
      </c>
      <c r="L69" s="16">
        <v>164.2</v>
      </c>
      <c r="M69" s="16">
        <v>2178.5</v>
      </c>
      <c r="N69" s="16">
        <v>42911.5</v>
      </c>
      <c r="O69" s="21">
        <v>1.1200000000000001</v>
      </c>
      <c r="P69" s="12">
        <v>5.13</v>
      </c>
      <c r="Q69" s="15">
        <v>9.0502779077405098</v>
      </c>
      <c r="R69" s="16">
        <v>4</v>
      </c>
      <c r="S69" s="22">
        <v>6.38</v>
      </c>
      <c r="T69" s="23">
        <v>0.77683143342961702</v>
      </c>
      <c r="U69" s="24">
        <v>74.281599999999997</v>
      </c>
      <c r="V69" s="25">
        <v>12.3725</v>
      </c>
      <c r="W69" s="26">
        <v>-1.7280453257790434</v>
      </c>
      <c r="X69" s="29">
        <v>0.68</v>
      </c>
    </row>
    <row r="70" spans="1:24" ht="15.5" x14ac:dyDescent="0.35">
      <c r="A70" s="39">
        <v>69</v>
      </c>
      <c r="B70" s="13" t="s">
        <v>112</v>
      </c>
      <c r="C70" s="19">
        <v>2021</v>
      </c>
      <c r="D70" s="14" t="s">
        <v>25</v>
      </c>
      <c r="E70" s="12">
        <v>541</v>
      </c>
      <c r="F70" s="41">
        <v>3850</v>
      </c>
      <c r="G70" s="16">
        <v>36</v>
      </c>
      <c r="H70" s="40" t="s">
        <v>99</v>
      </c>
      <c r="I70" s="30">
        <v>1</v>
      </c>
      <c r="J70" s="19">
        <v>2.17</v>
      </c>
      <c r="K70" s="20">
        <f t="shared" si="2"/>
        <v>71164510.16635859</v>
      </c>
      <c r="L70" s="16">
        <v>13000.1</v>
      </c>
      <c r="M70" s="16">
        <v>656.7</v>
      </c>
      <c r="N70" s="16">
        <v>42943.6</v>
      </c>
      <c r="O70" s="21">
        <v>0.42</v>
      </c>
      <c r="P70" s="12">
        <v>5.13</v>
      </c>
      <c r="Q70" s="15">
        <v>9.0502779077405098</v>
      </c>
      <c r="R70" s="16">
        <v>4</v>
      </c>
      <c r="S70" s="22">
        <v>6.38</v>
      </c>
      <c r="T70" s="23">
        <v>0.77652835449943047</v>
      </c>
      <c r="U70" s="24">
        <v>74.281599999999997</v>
      </c>
      <c r="V70" s="25">
        <v>12.3725</v>
      </c>
      <c r="W70" s="26">
        <v>-0.99815157116450604</v>
      </c>
      <c r="X70" s="29">
        <v>-21.42</v>
      </c>
    </row>
    <row r="71" spans="1:24" ht="15.5" x14ac:dyDescent="0.35">
      <c r="A71" s="12">
        <v>70</v>
      </c>
      <c r="B71" s="13" t="s">
        <v>113</v>
      </c>
      <c r="C71" s="19">
        <v>2021</v>
      </c>
      <c r="D71" s="14" t="s">
        <v>25</v>
      </c>
      <c r="E71" s="12">
        <v>570</v>
      </c>
      <c r="F71" s="41">
        <v>5000</v>
      </c>
      <c r="G71" s="16">
        <v>22</v>
      </c>
      <c r="H71" s="40" t="s">
        <v>99</v>
      </c>
      <c r="I71" s="18">
        <v>0.95240000000000002</v>
      </c>
      <c r="J71" s="19">
        <v>1.71</v>
      </c>
      <c r="K71" s="20">
        <f t="shared" si="2"/>
        <v>87719298.245614037</v>
      </c>
      <c r="L71" s="16">
        <v>64206.1</v>
      </c>
      <c r="M71" s="16">
        <v>227.8</v>
      </c>
      <c r="N71" s="16">
        <v>171940.6</v>
      </c>
      <c r="O71" s="21">
        <v>0.73</v>
      </c>
      <c r="P71" s="12">
        <v>5.13</v>
      </c>
      <c r="Q71" s="15">
        <v>9.0502779077405098</v>
      </c>
      <c r="R71" s="16">
        <v>4</v>
      </c>
      <c r="S71" s="22">
        <v>6.38</v>
      </c>
      <c r="T71" s="23">
        <v>0.27932281693565986</v>
      </c>
      <c r="U71" s="24">
        <v>74.427599999999998</v>
      </c>
      <c r="V71" s="25">
        <v>12.7125</v>
      </c>
      <c r="W71" s="26">
        <v>-6.719298245614028</v>
      </c>
      <c r="X71" s="29">
        <v>-36.99</v>
      </c>
    </row>
    <row r="72" spans="1:24" ht="15.5" x14ac:dyDescent="0.35">
      <c r="A72" s="12">
        <v>71</v>
      </c>
      <c r="B72" s="13" t="s">
        <v>114</v>
      </c>
      <c r="C72" s="19">
        <v>2021</v>
      </c>
      <c r="D72" s="14" t="s">
        <v>34</v>
      </c>
      <c r="E72" s="12">
        <v>1618</v>
      </c>
      <c r="F72" s="41">
        <v>2998.51</v>
      </c>
      <c r="G72" s="16">
        <v>21</v>
      </c>
      <c r="H72" s="40" t="s">
        <v>92</v>
      </c>
      <c r="I72" s="35">
        <v>0.69799999999999995</v>
      </c>
      <c r="J72" s="19">
        <v>20.29</v>
      </c>
      <c r="K72" s="20">
        <f t="shared" si="2"/>
        <v>18532200.247218791</v>
      </c>
      <c r="L72" s="16">
        <v>928</v>
      </c>
      <c r="M72" s="16">
        <v>794.1</v>
      </c>
      <c r="N72" s="16">
        <v>16998.7</v>
      </c>
      <c r="O72" s="21">
        <v>0</v>
      </c>
      <c r="P72" s="12">
        <v>5.13</v>
      </c>
      <c r="Q72" s="15">
        <v>9.0502779077405098</v>
      </c>
      <c r="R72" s="16">
        <v>4</v>
      </c>
      <c r="S72" s="22">
        <v>6.38</v>
      </c>
      <c r="T72" s="23">
        <v>-0.71429218080916035</v>
      </c>
      <c r="U72" s="24">
        <v>74.427599999999998</v>
      </c>
      <c r="V72" s="25">
        <v>12.7125</v>
      </c>
      <c r="W72" s="26">
        <v>-7.2280593325092735</v>
      </c>
      <c r="X72" s="29">
        <v>-57.78</v>
      </c>
    </row>
    <row r="73" spans="1:24" ht="15.5" x14ac:dyDescent="0.35">
      <c r="A73" s="39">
        <v>72</v>
      </c>
      <c r="B73" s="13" t="s">
        <v>115</v>
      </c>
      <c r="C73" s="19">
        <v>2021</v>
      </c>
      <c r="D73" s="14" t="s">
        <v>48</v>
      </c>
      <c r="E73" s="12">
        <v>954</v>
      </c>
      <c r="F73" s="41">
        <v>1213.33</v>
      </c>
      <c r="G73" s="16">
        <v>11</v>
      </c>
      <c r="H73" s="40" t="s">
        <v>79</v>
      </c>
      <c r="I73" s="18">
        <v>0.31619999999999998</v>
      </c>
      <c r="J73" s="19">
        <v>64.38</v>
      </c>
      <c r="K73" s="20">
        <f t="shared" si="2"/>
        <v>12718343.815513628</v>
      </c>
      <c r="L73" s="16">
        <v>3964.6</v>
      </c>
      <c r="M73" s="16">
        <v>1849.3</v>
      </c>
      <c r="N73" s="16">
        <v>6194.6</v>
      </c>
      <c r="O73" s="21">
        <v>13.27</v>
      </c>
      <c r="P73" s="12">
        <v>5.13</v>
      </c>
      <c r="Q73" s="15">
        <v>9.0502779077405098</v>
      </c>
      <c r="R73" s="16">
        <v>4</v>
      </c>
      <c r="S73" s="22">
        <v>6.38</v>
      </c>
      <c r="T73" s="23">
        <v>0.20539533307924041</v>
      </c>
      <c r="U73" s="24">
        <v>74.188800000000001</v>
      </c>
      <c r="V73" s="25">
        <v>12.6075</v>
      </c>
      <c r="W73" s="26">
        <v>3.459119496855346</v>
      </c>
      <c r="X73" s="29">
        <v>-52.9</v>
      </c>
    </row>
    <row r="74" spans="1:24" ht="15.5" x14ac:dyDescent="0.35">
      <c r="A74" s="12">
        <v>73</v>
      </c>
      <c r="B74" s="13" t="s">
        <v>116</v>
      </c>
      <c r="C74" s="19">
        <v>2021</v>
      </c>
      <c r="D74" s="14" t="s">
        <v>34</v>
      </c>
      <c r="E74" s="12">
        <v>90</v>
      </c>
      <c r="F74" s="41" t="s">
        <v>117</v>
      </c>
      <c r="G74" s="16">
        <v>30</v>
      </c>
      <c r="H74" s="40" t="s">
        <v>79</v>
      </c>
      <c r="I74" s="18">
        <v>0.75790000000000002</v>
      </c>
      <c r="J74" s="19">
        <v>116.7</v>
      </c>
      <c r="K74" s="20">
        <f>(1838*10000000)/90</f>
        <v>204222222.22222221</v>
      </c>
      <c r="L74" s="16">
        <v>9987.6</v>
      </c>
      <c r="M74" s="16">
        <v>-653.1</v>
      </c>
      <c r="N74" s="16">
        <v>16021.3</v>
      </c>
      <c r="O74" s="21">
        <v>4.82</v>
      </c>
      <c r="P74" s="12">
        <v>5.13</v>
      </c>
      <c r="Q74" s="15">
        <v>9.0502779077405098</v>
      </c>
      <c r="R74" s="16">
        <v>4</v>
      </c>
      <c r="S74" s="22">
        <v>6.38</v>
      </c>
      <c r="T74" s="23">
        <v>0.20539533307924041</v>
      </c>
      <c r="U74" s="24">
        <v>74.188800000000001</v>
      </c>
      <c r="V74" s="25">
        <v>12.6075</v>
      </c>
      <c r="W74" s="26">
        <v>37.222222222222221</v>
      </c>
      <c r="X74" s="29">
        <v>64.66</v>
      </c>
    </row>
    <row r="75" spans="1:24" ht="15.5" x14ac:dyDescent="0.35">
      <c r="A75" s="12">
        <v>74</v>
      </c>
      <c r="B75" s="13" t="s">
        <v>118</v>
      </c>
      <c r="C75" s="19">
        <v>2021</v>
      </c>
      <c r="D75" s="14" t="s">
        <v>25</v>
      </c>
      <c r="E75" s="12">
        <v>120</v>
      </c>
      <c r="F75" s="41">
        <v>161.09</v>
      </c>
      <c r="G75" s="16">
        <v>13</v>
      </c>
      <c r="H75" s="40" t="s">
        <v>79</v>
      </c>
      <c r="I75" s="18">
        <v>0.56089999999999995</v>
      </c>
      <c r="J75" s="19">
        <v>22.65</v>
      </c>
      <c r="K75" s="20">
        <f t="shared" ref="K75:K80" si="3">(F75*10000000)/E75</f>
        <v>13424166.666666666</v>
      </c>
      <c r="L75" s="16">
        <v>2566.9</v>
      </c>
      <c r="M75" s="16">
        <v>152.19999999999999</v>
      </c>
      <c r="N75" s="16">
        <v>3849.8</v>
      </c>
      <c r="O75" s="21">
        <v>1.25</v>
      </c>
      <c r="P75" s="12">
        <v>5.13</v>
      </c>
      <c r="Q75" s="15">
        <v>9.0502779077405098</v>
      </c>
      <c r="R75" s="16">
        <v>4</v>
      </c>
      <c r="S75" s="22">
        <v>6.38</v>
      </c>
      <c r="T75" s="23">
        <v>0.20539533307924041</v>
      </c>
      <c r="U75" s="24">
        <v>74.188800000000001</v>
      </c>
      <c r="V75" s="25">
        <v>12.6075</v>
      </c>
      <c r="W75" s="26">
        <v>10.250000000000009</v>
      </c>
      <c r="X75" s="29">
        <v>-18.670000000000002</v>
      </c>
    </row>
    <row r="76" spans="1:24" ht="15.5" x14ac:dyDescent="0.35">
      <c r="A76" s="39">
        <v>75</v>
      </c>
      <c r="B76" s="13" t="s">
        <v>119</v>
      </c>
      <c r="C76" s="19">
        <v>2021</v>
      </c>
      <c r="D76" s="14" t="s">
        <v>48</v>
      </c>
      <c r="E76" s="12">
        <v>460</v>
      </c>
      <c r="F76" s="41">
        <v>401.54</v>
      </c>
      <c r="G76" s="16">
        <v>20</v>
      </c>
      <c r="H76" s="40" t="s">
        <v>94</v>
      </c>
      <c r="I76" s="30">
        <v>0.78</v>
      </c>
      <c r="J76" s="19">
        <v>22.44</v>
      </c>
      <c r="K76" s="20">
        <f t="shared" si="3"/>
        <v>8729130.4347826093</v>
      </c>
      <c r="L76" s="16">
        <v>4276</v>
      </c>
      <c r="M76" s="16">
        <v>50.1</v>
      </c>
      <c r="N76" s="16">
        <v>2983.6</v>
      </c>
      <c r="O76" s="21">
        <v>0.14000000000000001</v>
      </c>
      <c r="P76" s="12">
        <v>5.13</v>
      </c>
      <c r="Q76" s="15">
        <v>9.0502779077405098</v>
      </c>
      <c r="R76" s="16">
        <v>4</v>
      </c>
      <c r="S76" s="22">
        <v>6.38</v>
      </c>
      <c r="T76" s="23">
        <v>0.31093213226992533</v>
      </c>
      <c r="U76" s="24">
        <v>74.188800000000001</v>
      </c>
      <c r="V76" s="25">
        <v>12.6075</v>
      </c>
      <c r="W76" s="26">
        <v>-11.489130434782615</v>
      </c>
      <c r="X76" s="29">
        <v>-47.48</v>
      </c>
    </row>
    <row r="77" spans="1:24" ht="15.5" x14ac:dyDescent="0.35">
      <c r="A77" s="12">
        <v>76</v>
      </c>
      <c r="B77" s="13" t="s">
        <v>120</v>
      </c>
      <c r="C77" s="19">
        <v>2021</v>
      </c>
      <c r="D77" s="14" t="s">
        <v>27</v>
      </c>
      <c r="E77" s="12">
        <v>900</v>
      </c>
      <c r="F77" s="41">
        <v>731</v>
      </c>
      <c r="G77" s="16">
        <v>18</v>
      </c>
      <c r="H77" s="40" t="s">
        <v>79</v>
      </c>
      <c r="I77" s="18">
        <v>0.58989999999999998</v>
      </c>
      <c r="J77" s="19">
        <v>130.44</v>
      </c>
      <c r="K77" s="20">
        <f t="shared" si="3"/>
        <v>8122222.222222222</v>
      </c>
      <c r="L77" s="16">
        <v>6164.6</v>
      </c>
      <c r="M77" s="16">
        <v>869.6</v>
      </c>
      <c r="N77" s="16">
        <v>8212.2999999999993</v>
      </c>
      <c r="O77" s="21">
        <v>0.76</v>
      </c>
      <c r="P77" s="12">
        <v>5.13</v>
      </c>
      <c r="Q77" s="15">
        <v>9.0502779077405098</v>
      </c>
      <c r="R77" s="16">
        <v>4</v>
      </c>
      <c r="S77" s="22">
        <v>6.38</v>
      </c>
      <c r="T77" s="23">
        <v>0.12347307435077821</v>
      </c>
      <c r="U77" s="24">
        <v>74.387100000000004</v>
      </c>
      <c r="V77" s="25">
        <v>12.8025</v>
      </c>
      <c r="W77" s="26">
        <v>29.666666666666668</v>
      </c>
      <c r="X77" s="29">
        <v>54.57</v>
      </c>
    </row>
    <row r="78" spans="1:24" ht="15.5" x14ac:dyDescent="0.35">
      <c r="A78" s="12">
        <v>77</v>
      </c>
      <c r="B78" s="13" t="s">
        <v>121</v>
      </c>
      <c r="C78" s="19">
        <v>2021</v>
      </c>
      <c r="D78" s="14" t="s">
        <v>48</v>
      </c>
      <c r="E78" s="12">
        <v>720</v>
      </c>
      <c r="F78" s="41">
        <v>1513.6</v>
      </c>
      <c r="G78" s="16">
        <v>10</v>
      </c>
      <c r="H78" s="40" t="s">
        <v>77</v>
      </c>
      <c r="I78" s="30">
        <v>1</v>
      </c>
      <c r="J78" s="19">
        <v>44.17</v>
      </c>
      <c r="K78" s="20">
        <f t="shared" si="3"/>
        <v>21022222.222222224</v>
      </c>
      <c r="L78" s="16">
        <v>18851.7</v>
      </c>
      <c r="M78" s="16">
        <v>3515.8</v>
      </c>
      <c r="N78" s="16">
        <v>22225.9</v>
      </c>
      <c r="O78" s="21">
        <v>0</v>
      </c>
      <c r="P78" s="12">
        <v>5.13</v>
      </c>
      <c r="Q78" s="15">
        <v>9.0502779077405098</v>
      </c>
      <c r="R78" s="16">
        <v>4</v>
      </c>
      <c r="S78" s="22">
        <v>6.38</v>
      </c>
      <c r="T78" s="23">
        <v>-0.34612693775851899</v>
      </c>
      <c r="U78" s="24">
        <v>74.282200000000003</v>
      </c>
      <c r="V78" s="25">
        <v>12.945</v>
      </c>
      <c r="W78" s="26">
        <v>3.958333333333333</v>
      </c>
      <c r="X78" s="29">
        <v>-39.979999999999997</v>
      </c>
    </row>
    <row r="79" spans="1:24" ht="15.5" x14ac:dyDescent="0.35">
      <c r="A79" s="39">
        <v>78</v>
      </c>
      <c r="B79" s="13" t="s">
        <v>122</v>
      </c>
      <c r="C79" s="19">
        <v>2021</v>
      </c>
      <c r="D79" s="14" t="s">
        <v>48</v>
      </c>
      <c r="E79" s="12">
        <v>1083</v>
      </c>
      <c r="F79" s="41">
        <v>500</v>
      </c>
      <c r="G79" s="16">
        <v>25</v>
      </c>
      <c r="H79" s="40" t="s">
        <v>92</v>
      </c>
      <c r="I79" s="30">
        <v>1</v>
      </c>
      <c r="J79" s="19">
        <v>180.36</v>
      </c>
      <c r="K79" s="20">
        <f t="shared" si="3"/>
        <v>4616805.1708217915</v>
      </c>
      <c r="L79" s="16">
        <v>2911.9</v>
      </c>
      <c r="M79" s="16">
        <v>513.6</v>
      </c>
      <c r="N79" s="16">
        <v>3273.8</v>
      </c>
      <c r="O79" s="21">
        <v>0.65</v>
      </c>
      <c r="P79" s="12">
        <v>5.13</v>
      </c>
      <c r="Q79" s="15">
        <v>9.0502779077405098</v>
      </c>
      <c r="R79" s="16">
        <v>4</v>
      </c>
      <c r="S79" s="22">
        <v>6.38</v>
      </c>
      <c r="T79" s="23">
        <v>0.43954574967854343</v>
      </c>
      <c r="U79" s="24">
        <v>74.8596</v>
      </c>
      <c r="V79" s="25">
        <v>13.205</v>
      </c>
      <c r="W79" s="26">
        <v>113.49953831948289</v>
      </c>
      <c r="X79" s="29">
        <v>-57.42</v>
      </c>
    </row>
    <row r="80" spans="1:24" ht="15.5" x14ac:dyDescent="0.35">
      <c r="A80" s="12">
        <v>79</v>
      </c>
      <c r="B80" s="13" t="s">
        <v>123</v>
      </c>
      <c r="C80" s="19">
        <v>2021</v>
      </c>
      <c r="D80" s="14" t="s">
        <v>34</v>
      </c>
      <c r="E80" s="12">
        <v>76</v>
      </c>
      <c r="F80" s="41">
        <v>9375</v>
      </c>
      <c r="G80" s="16">
        <v>11</v>
      </c>
      <c r="H80" s="40" t="s">
        <v>96</v>
      </c>
      <c r="I80" s="18">
        <v>0.56310000000000004</v>
      </c>
      <c r="J80" s="19">
        <v>38.25</v>
      </c>
      <c r="K80" s="20">
        <f t="shared" si="3"/>
        <v>1233552631.5789473</v>
      </c>
      <c r="L80" s="16">
        <v>17264</v>
      </c>
      <c r="M80" s="16">
        <v>-8860</v>
      </c>
      <c r="N80" s="16">
        <v>88449</v>
      </c>
      <c r="O80" s="21">
        <v>0.01</v>
      </c>
      <c r="P80" s="12">
        <v>5.13</v>
      </c>
      <c r="Q80" s="15">
        <v>9.0502779077405098</v>
      </c>
      <c r="R80" s="16">
        <v>4</v>
      </c>
      <c r="S80" s="22">
        <v>6.38</v>
      </c>
      <c r="T80" s="23">
        <v>0.20222383018253862</v>
      </c>
      <c r="U80" s="24">
        <v>74.623199999999997</v>
      </c>
      <c r="V80" s="25">
        <v>11.705</v>
      </c>
      <c r="W80" s="26">
        <v>65.59210526315789</v>
      </c>
      <c r="X80" s="52">
        <v>-28.95</v>
      </c>
    </row>
    <row r="81" spans="1:24" ht="15.5" x14ac:dyDescent="0.35">
      <c r="A81" s="12">
        <v>80</v>
      </c>
      <c r="B81" s="13" t="s">
        <v>124</v>
      </c>
      <c r="C81" s="19">
        <v>2021</v>
      </c>
      <c r="D81" s="14" t="s">
        <v>25</v>
      </c>
      <c r="E81" s="12">
        <v>900</v>
      </c>
      <c r="F81" s="41" t="s">
        <v>125</v>
      </c>
      <c r="G81" s="16">
        <v>18</v>
      </c>
      <c r="H81" s="40" t="s">
        <v>79</v>
      </c>
      <c r="I81" s="18">
        <v>0.9466</v>
      </c>
      <c r="J81" s="19">
        <v>93.41</v>
      </c>
      <c r="K81" s="20">
        <f>(1546.62*10000000)/900</f>
        <v>17184666.666666664</v>
      </c>
      <c r="L81" s="16">
        <v>5124.3</v>
      </c>
      <c r="M81" s="16">
        <v>1983.8</v>
      </c>
      <c r="N81" s="16">
        <v>6603.9</v>
      </c>
      <c r="O81" s="21">
        <v>1.73</v>
      </c>
      <c r="P81" s="12">
        <v>5.13</v>
      </c>
      <c r="Q81" s="15">
        <v>9.0502779077405098</v>
      </c>
      <c r="R81" s="16">
        <v>4</v>
      </c>
      <c r="S81" s="22">
        <v>6.38</v>
      </c>
      <c r="T81" s="23">
        <v>-1.0738912543803458</v>
      </c>
      <c r="U81" s="24">
        <v>74.644599999999997</v>
      </c>
      <c r="V81" s="25">
        <v>12.942500000000001</v>
      </c>
      <c r="W81" s="26">
        <v>76.138888888888886</v>
      </c>
      <c r="X81" s="29">
        <v>-2.64</v>
      </c>
    </row>
    <row r="82" spans="1:24" ht="15.5" x14ac:dyDescent="0.35">
      <c r="A82" s="39">
        <v>81</v>
      </c>
      <c r="B82" s="13" t="s">
        <v>126</v>
      </c>
      <c r="C82" s="19">
        <v>2021</v>
      </c>
      <c r="D82" s="14" t="s">
        <v>27</v>
      </c>
      <c r="E82" s="12">
        <v>837</v>
      </c>
      <c r="F82" s="41">
        <v>963.28</v>
      </c>
      <c r="G82" s="16">
        <v>26</v>
      </c>
      <c r="H82" s="40" t="s">
        <v>79</v>
      </c>
      <c r="I82" s="18">
        <v>0.88039999999999996</v>
      </c>
      <c r="J82" s="19">
        <v>102.58</v>
      </c>
      <c r="K82" s="20">
        <f t="shared" ref="K82:K106" si="4">(F82*10000000)/E82</f>
        <v>11508721.624850657</v>
      </c>
      <c r="L82" s="16">
        <v>72505.5</v>
      </c>
      <c r="M82" s="16">
        <v>7806.1</v>
      </c>
      <c r="N82" s="16">
        <v>63791</v>
      </c>
      <c r="O82" s="21">
        <v>0.39</v>
      </c>
      <c r="P82" s="12">
        <v>5.13</v>
      </c>
      <c r="Q82" s="15">
        <v>9.0502779077405098</v>
      </c>
      <c r="R82" s="16">
        <v>4</v>
      </c>
      <c r="S82" s="22">
        <v>6.38</v>
      </c>
      <c r="T82" s="23">
        <v>-1.0738912543803458</v>
      </c>
      <c r="U82" s="24">
        <v>74.644599999999997</v>
      </c>
      <c r="V82" s="25">
        <v>12.942500000000001</v>
      </c>
      <c r="W82" s="26">
        <v>108.73357228195937</v>
      </c>
      <c r="X82" s="29">
        <v>-27.96</v>
      </c>
    </row>
    <row r="83" spans="1:24" ht="15.5" x14ac:dyDescent="0.35">
      <c r="A83" s="12">
        <v>82</v>
      </c>
      <c r="B83" s="13" t="s">
        <v>127</v>
      </c>
      <c r="C83" s="19">
        <v>2021</v>
      </c>
      <c r="D83" s="14" t="s">
        <v>25</v>
      </c>
      <c r="E83" s="12">
        <v>296</v>
      </c>
      <c r="F83" s="41">
        <v>800</v>
      </c>
      <c r="G83" s="16">
        <v>37</v>
      </c>
      <c r="H83" s="40" t="s">
        <v>79</v>
      </c>
      <c r="I83" s="18">
        <v>0.82679999999999998</v>
      </c>
      <c r="J83" s="19">
        <v>29.04</v>
      </c>
      <c r="K83" s="20">
        <f t="shared" si="4"/>
        <v>27027027.027027026</v>
      </c>
      <c r="L83" s="16">
        <v>6489.6</v>
      </c>
      <c r="M83" s="16">
        <v>1345.4</v>
      </c>
      <c r="N83" s="16">
        <v>5654</v>
      </c>
      <c r="O83" s="21">
        <v>0.09</v>
      </c>
      <c r="P83" s="12">
        <v>5.13</v>
      </c>
      <c r="Q83" s="15">
        <v>9.0502779077405098</v>
      </c>
      <c r="R83" s="16">
        <v>4</v>
      </c>
      <c r="S83" s="22">
        <v>6.38</v>
      </c>
      <c r="T83" s="23">
        <v>0.71332256300008667</v>
      </c>
      <c r="U83" s="24">
        <v>74.179000000000002</v>
      </c>
      <c r="V83" s="25">
        <v>13.3675</v>
      </c>
      <c r="W83" s="26">
        <v>15.929054054054046</v>
      </c>
      <c r="X83" s="29">
        <v>-27.41</v>
      </c>
    </row>
    <row r="84" spans="1:24" ht="15.5" x14ac:dyDescent="0.35">
      <c r="A84" s="12">
        <v>83</v>
      </c>
      <c r="B84" s="13" t="s">
        <v>128</v>
      </c>
      <c r="C84" s="19">
        <v>2021</v>
      </c>
      <c r="D84" s="14" t="s">
        <v>48</v>
      </c>
      <c r="E84" s="12">
        <v>825</v>
      </c>
      <c r="F84" s="41">
        <v>2143.7399999999998</v>
      </c>
      <c r="G84" s="16">
        <v>48</v>
      </c>
      <c r="H84" s="40" t="s">
        <v>79</v>
      </c>
      <c r="I84" s="18">
        <v>0.46810000000000002</v>
      </c>
      <c r="J84" s="19">
        <v>3.86</v>
      </c>
      <c r="K84" s="20">
        <f t="shared" si="4"/>
        <v>25984727.27272727</v>
      </c>
      <c r="L84" s="16">
        <v>9328.2000000000007</v>
      </c>
      <c r="M84" s="16">
        <v>1886.5</v>
      </c>
      <c r="N84" s="16">
        <v>12634.3</v>
      </c>
      <c r="O84" s="21">
        <v>0.21</v>
      </c>
      <c r="P84" s="12">
        <v>5.13</v>
      </c>
      <c r="Q84" s="15">
        <v>9.0502779077405098</v>
      </c>
      <c r="R84" s="16">
        <v>4</v>
      </c>
      <c r="S84" s="22">
        <v>6.38</v>
      </c>
      <c r="T84" s="23">
        <v>-0.28782466969518095</v>
      </c>
      <c r="U84" s="24">
        <v>74.144199999999998</v>
      </c>
      <c r="V84" s="25">
        <v>14.797499999999999</v>
      </c>
      <c r="W84" s="26">
        <v>20.842424242424247</v>
      </c>
      <c r="X84" s="29">
        <v>15.17</v>
      </c>
    </row>
    <row r="85" spans="1:24" ht="15.5" x14ac:dyDescent="0.35">
      <c r="A85" s="39">
        <v>84</v>
      </c>
      <c r="B85" s="13" t="s">
        <v>129</v>
      </c>
      <c r="C85" s="19">
        <v>2021</v>
      </c>
      <c r="D85" s="14" t="s">
        <v>36</v>
      </c>
      <c r="E85" s="12">
        <v>428</v>
      </c>
      <c r="F85" s="41">
        <v>520.17999999999995</v>
      </c>
      <c r="G85" s="16">
        <v>26</v>
      </c>
      <c r="H85" s="40" t="s">
        <v>79</v>
      </c>
      <c r="I85" s="18">
        <v>0.68520000000000003</v>
      </c>
      <c r="J85" s="19">
        <v>45.62</v>
      </c>
      <c r="K85" s="20">
        <f t="shared" si="4"/>
        <v>12153738.317757007</v>
      </c>
      <c r="L85" s="16">
        <v>18369.099999999999</v>
      </c>
      <c r="M85" s="16">
        <v>1083.9000000000001</v>
      </c>
      <c r="N85" s="16">
        <v>9226.5</v>
      </c>
      <c r="O85" s="21">
        <v>0.26</v>
      </c>
      <c r="P85" s="12">
        <v>5.13</v>
      </c>
      <c r="Q85" s="15">
        <v>9.0502779077405098</v>
      </c>
      <c r="R85" s="16">
        <v>4</v>
      </c>
      <c r="S85" s="22">
        <v>6.38</v>
      </c>
      <c r="T85" s="23">
        <v>-0.28782466969518095</v>
      </c>
      <c r="U85" s="24">
        <v>74.144199999999998</v>
      </c>
      <c r="V85" s="25">
        <v>14.797499999999999</v>
      </c>
      <c r="W85" s="26">
        <v>42.499999999999993</v>
      </c>
      <c r="X85" s="29">
        <v>-21.25</v>
      </c>
    </row>
    <row r="86" spans="1:24" ht="15.5" x14ac:dyDescent="0.35">
      <c r="A86" s="12">
        <v>85</v>
      </c>
      <c r="B86" s="13" t="s">
        <v>130</v>
      </c>
      <c r="C86" s="19">
        <v>2021</v>
      </c>
      <c r="D86" s="14" t="s">
        <v>27</v>
      </c>
      <c r="E86" s="12">
        <v>291</v>
      </c>
      <c r="F86" s="41">
        <v>5550</v>
      </c>
      <c r="G86" s="16">
        <v>26</v>
      </c>
      <c r="H86" s="40" t="s">
        <v>77</v>
      </c>
      <c r="I86" s="30">
        <v>1</v>
      </c>
      <c r="J86" s="19">
        <v>2.2799999999999998</v>
      </c>
      <c r="K86" s="20">
        <f t="shared" si="4"/>
        <v>190721649.48453608</v>
      </c>
      <c r="L86" s="16">
        <v>13641.7</v>
      </c>
      <c r="M86" s="16">
        <v>2160.4</v>
      </c>
      <c r="N86" s="16">
        <v>21299.599999999999</v>
      </c>
      <c r="O86" s="21">
        <v>0.31</v>
      </c>
      <c r="P86" s="12">
        <v>5.13</v>
      </c>
      <c r="Q86" s="15">
        <v>9.0502779077405098</v>
      </c>
      <c r="R86" s="16">
        <v>4</v>
      </c>
      <c r="S86" s="22">
        <v>6.38</v>
      </c>
      <c r="T86" s="23">
        <v>0.65978408804770838</v>
      </c>
      <c r="U86" s="24">
        <v>73.3703</v>
      </c>
      <c r="V86" s="25">
        <v>14.865</v>
      </c>
      <c r="W86" s="26">
        <v>24.123711340206182</v>
      </c>
      <c r="X86" s="29">
        <v>53.88</v>
      </c>
    </row>
    <row r="87" spans="1:24" ht="15.5" x14ac:dyDescent="0.35">
      <c r="A87" s="12">
        <v>86</v>
      </c>
      <c r="B87" s="13" t="s">
        <v>131</v>
      </c>
      <c r="C87" s="19">
        <v>2021</v>
      </c>
      <c r="D87" s="14" t="s">
        <v>25</v>
      </c>
      <c r="E87" s="12">
        <v>306</v>
      </c>
      <c r="F87" s="41">
        <v>909</v>
      </c>
      <c r="G87" s="16">
        <v>19</v>
      </c>
      <c r="H87" s="40" t="s">
        <v>77</v>
      </c>
      <c r="I87" s="30">
        <v>1</v>
      </c>
      <c r="J87" s="19">
        <v>121.43</v>
      </c>
      <c r="K87" s="20">
        <f t="shared" si="4"/>
        <v>29705882.352941178</v>
      </c>
      <c r="L87" s="16">
        <v>31211.200000000001</v>
      </c>
      <c r="M87" s="16">
        <v>4389</v>
      </c>
      <c r="N87" s="16">
        <v>33578.6</v>
      </c>
      <c r="O87" s="21">
        <v>0.24</v>
      </c>
      <c r="P87" s="12">
        <v>5.13</v>
      </c>
      <c r="Q87" s="15">
        <v>9.0502779077405098</v>
      </c>
      <c r="R87" s="16">
        <v>4</v>
      </c>
      <c r="S87" s="22">
        <v>6.38</v>
      </c>
      <c r="T87" s="23">
        <v>0.65978408804770838</v>
      </c>
      <c r="U87" s="24">
        <v>73.3703</v>
      </c>
      <c r="V87" s="25">
        <v>14.865</v>
      </c>
      <c r="W87" s="26">
        <v>22.924836601307184</v>
      </c>
      <c r="X87" s="29">
        <v>-25.18</v>
      </c>
    </row>
    <row r="88" spans="1:24" ht="15.5" x14ac:dyDescent="0.35">
      <c r="A88" s="39">
        <v>87</v>
      </c>
      <c r="B88" s="13" t="s">
        <v>132</v>
      </c>
      <c r="C88" s="19">
        <v>2021</v>
      </c>
      <c r="D88" s="14" t="s">
        <v>40</v>
      </c>
      <c r="E88" s="12">
        <v>486</v>
      </c>
      <c r="F88" s="41">
        <v>2500</v>
      </c>
      <c r="G88" s="16">
        <v>26</v>
      </c>
      <c r="H88" s="40" t="s">
        <v>133</v>
      </c>
      <c r="I88" s="30">
        <v>1</v>
      </c>
      <c r="J88" s="19">
        <v>1.36</v>
      </c>
      <c r="K88" s="20">
        <f t="shared" si="4"/>
        <v>51440329.218106993</v>
      </c>
      <c r="L88" s="16">
        <v>59256.6</v>
      </c>
      <c r="M88" s="16">
        <v>1221.4000000000001</v>
      </c>
      <c r="N88" s="16">
        <v>377224</v>
      </c>
      <c r="O88" s="21">
        <v>4.16</v>
      </c>
      <c r="P88" s="12">
        <v>5.13</v>
      </c>
      <c r="Q88" s="15">
        <v>9.0502779077405098</v>
      </c>
      <c r="R88" s="16">
        <v>4</v>
      </c>
      <c r="S88" s="22">
        <v>6.38</v>
      </c>
      <c r="T88" s="23">
        <v>0.76767577851766877</v>
      </c>
      <c r="U88" s="24">
        <v>74.889899999999997</v>
      </c>
      <c r="V88" s="25">
        <v>19.785</v>
      </c>
      <c r="W88" s="26">
        <v>-4.2695473251028808</v>
      </c>
      <c r="X88" s="29">
        <v>135.1</v>
      </c>
    </row>
    <row r="89" spans="1:24" ht="15.5" x14ac:dyDescent="0.35">
      <c r="A89" s="12">
        <v>88</v>
      </c>
      <c r="B89" s="13" t="s">
        <v>134</v>
      </c>
      <c r="C89" s="19">
        <v>2021</v>
      </c>
      <c r="D89" s="14" t="s">
        <v>34</v>
      </c>
      <c r="E89" s="12">
        <v>500</v>
      </c>
      <c r="F89" s="41">
        <v>452.87</v>
      </c>
      <c r="G89" s="16">
        <v>15</v>
      </c>
      <c r="H89" s="40" t="s">
        <v>99</v>
      </c>
      <c r="I89" s="18">
        <v>0.47799999999999998</v>
      </c>
      <c r="J89" s="19">
        <v>5.98</v>
      </c>
      <c r="K89" s="20">
        <f t="shared" si="4"/>
        <v>9057400</v>
      </c>
      <c r="L89" s="16">
        <v>7866.5</v>
      </c>
      <c r="M89" s="16">
        <v>-926.7</v>
      </c>
      <c r="N89" s="16">
        <v>7866.5</v>
      </c>
      <c r="O89" s="21">
        <v>3.36</v>
      </c>
      <c r="P89" s="12">
        <v>5.13</v>
      </c>
      <c r="Q89" s="15">
        <v>9.0502779077405098</v>
      </c>
      <c r="R89" s="16">
        <v>4</v>
      </c>
      <c r="S89" s="22">
        <v>6.38</v>
      </c>
      <c r="T89" s="23">
        <v>0.92314369870943969</v>
      </c>
      <c r="U89" s="24">
        <v>72.404600000000002</v>
      </c>
      <c r="V89" s="25">
        <v>20.65</v>
      </c>
      <c r="W89" s="26">
        <v>17.559999999999992</v>
      </c>
      <c r="X89" s="29">
        <v>104.72</v>
      </c>
    </row>
    <row r="90" spans="1:24" ht="15.5" x14ac:dyDescent="0.35">
      <c r="A90" s="12">
        <v>89</v>
      </c>
      <c r="B90" s="13" t="s">
        <v>135</v>
      </c>
      <c r="C90" s="19">
        <v>2021</v>
      </c>
      <c r="D90" s="14" t="s">
        <v>32</v>
      </c>
      <c r="E90" s="12">
        <v>305</v>
      </c>
      <c r="F90" s="41">
        <v>582.34</v>
      </c>
      <c r="G90" s="16">
        <v>13</v>
      </c>
      <c r="H90" s="40" t="s">
        <v>96</v>
      </c>
      <c r="I90" s="18">
        <v>0.30349999999999999</v>
      </c>
      <c r="J90" s="19">
        <v>2.37</v>
      </c>
      <c r="K90" s="20">
        <f t="shared" si="4"/>
        <v>19093114.754098359</v>
      </c>
      <c r="L90" s="12">
        <v>8541.3799999999992</v>
      </c>
      <c r="M90" s="16">
        <v>1109.4000000000001</v>
      </c>
      <c r="N90" s="16">
        <v>53645.2</v>
      </c>
      <c r="O90" s="21">
        <v>11.4</v>
      </c>
      <c r="P90" s="12">
        <v>5.13</v>
      </c>
      <c r="Q90" s="15">
        <v>9.0502779077405098</v>
      </c>
      <c r="R90" s="16">
        <v>4</v>
      </c>
      <c r="S90" s="22">
        <v>6.38</v>
      </c>
      <c r="T90" s="23">
        <v>1.2733059567606122</v>
      </c>
      <c r="U90" s="24">
        <v>72.515500000000003</v>
      </c>
      <c r="V90" s="25">
        <v>19.987500000000001</v>
      </c>
      <c r="W90" s="26">
        <v>-8.9180327868852416</v>
      </c>
      <c r="X90" s="29">
        <v>-63.41</v>
      </c>
    </row>
    <row r="91" spans="1:24" ht="15.5" x14ac:dyDescent="0.35">
      <c r="A91" s="39">
        <v>90</v>
      </c>
      <c r="B91" s="13" t="s">
        <v>136</v>
      </c>
      <c r="C91" s="19">
        <v>2021</v>
      </c>
      <c r="D91" s="14" t="s">
        <v>137</v>
      </c>
      <c r="E91" s="12">
        <v>1101</v>
      </c>
      <c r="F91" s="41">
        <v>582.91</v>
      </c>
      <c r="G91" s="16">
        <v>22</v>
      </c>
      <c r="H91" s="40" t="s">
        <v>94</v>
      </c>
      <c r="I91" s="18">
        <v>0.24160000000000001</v>
      </c>
      <c r="J91" s="19">
        <v>175.46</v>
      </c>
      <c r="K91" s="20">
        <f t="shared" si="4"/>
        <v>5294368.7556766579</v>
      </c>
      <c r="L91" s="16">
        <v>461.2</v>
      </c>
      <c r="M91" s="16">
        <v>69.7</v>
      </c>
      <c r="N91" s="16">
        <v>3821.4</v>
      </c>
      <c r="O91" s="21">
        <v>0.01</v>
      </c>
      <c r="P91" s="12">
        <v>5.13</v>
      </c>
      <c r="Q91" s="15">
        <v>9.0502779077405098</v>
      </c>
      <c r="R91" s="16">
        <v>4</v>
      </c>
      <c r="S91" s="22">
        <v>6.38</v>
      </c>
      <c r="T91" s="23">
        <v>2.3284802065167294</v>
      </c>
      <c r="U91" s="24">
        <v>72.515500000000003</v>
      </c>
      <c r="V91" s="25">
        <v>19.987500000000001</v>
      </c>
      <c r="W91" s="26">
        <v>44.595821980018165</v>
      </c>
      <c r="X91" s="29">
        <v>0.7</v>
      </c>
    </row>
    <row r="92" spans="1:24" ht="15.5" x14ac:dyDescent="0.35">
      <c r="A92" s="12">
        <v>91</v>
      </c>
      <c r="B92" s="13" t="s">
        <v>138</v>
      </c>
      <c r="C92" s="19">
        <v>2021</v>
      </c>
      <c r="D92" s="14" t="s">
        <v>34</v>
      </c>
      <c r="E92" s="12">
        <v>87</v>
      </c>
      <c r="F92" s="41">
        <v>1175</v>
      </c>
      <c r="G92" s="16">
        <v>28</v>
      </c>
      <c r="H92" s="40" t="s">
        <v>139</v>
      </c>
      <c r="I92" s="18">
        <v>0.67989999999999995</v>
      </c>
      <c r="J92" s="19">
        <v>2.61</v>
      </c>
      <c r="K92" s="20">
        <f t="shared" si="4"/>
        <v>135057471.26436782</v>
      </c>
      <c r="L92" s="16">
        <v>77733.3</v>
      </c>
      <c r="M92" s="16">
        <v>1563.5</v>
      </c>
      <c r="N92" s="16">
        <v>68017.2</v>
      </c>
      <c r="O92" s="21">
        <v>1.22</v>
      </c>
      <c r="P92" s="12">
        <v>5.13</v>
      </c>
      <c r="Q92" s="15">
        <v>9.0502779077405098</v>
      </c>
      <c r="R92" s="16">
        <v>4</v>
      </c>
      <c r="S92" s="22">
        <v>6.38</v>
      </c>
      <c r="T92" s="23">
        <v>1.2733059567606122</v>
      </c>
      <c r="U92" s="24">
        <v>72.524799999999999</v>
      </c>
      <c r="V92" s="25">
        <v>20.079999999999998</v>
      </c>
      <c r="W92" s="26">
        <v>-13.563218390804593</v>
      </c>
      <c r="X92" s="29">
        <v>-20.74</v>
      </c>
    </row>
    <row r="93" spans="1:24" ht="15.5" x14ac:dyDescent="0.35">
      <c r="A93" s="12">
        <v>92</v>
      </c>
      <c r="B93" s="13" t="s">
        <v>140</v>
      </c>
      <c r="C93" s="19">
        <v>2021</v>
      </c>
      <c r="D93" s="14" t="s">
        <v>25</v>
      </c>
      <c r="E93" s="12">
        <v>130</v>
      </c>
      <c r="F93" s="41">
        <v>600</v>
      </c>
      <c r="G93" s="16">
        <v>32</v>
      </c>
      <c r="H93" s="40" t="s">
        <v>77</v>
      </c>
      <c r="I93" s="18">
        <v>0.89510000000000001</v>
      </c>
      <c r="J93" s="19">
        <v>106.81</v>
      </c>
      <c r="K93" s="20">
        <f t="shared" si="4"/>
        <v>46153846.153846152</v>
      </c>
      <c r="L93" s="16">
        <v>13586.8</v>
      </c>
      <c r="M93" s="16">
        <v>786.2</v>
      </c>
      <c r="N93" s="16">
        <v>10365.9</v>
      </c>
      <c r="O93" s="21">
        <v>0.31</v>
      </c>
      <c r="P93" s="12">
        <v>5.13</v>
      </c>
      <c r="Q93" s="15">
        <v>9.0502779077405098</v>
      </c>
      <c r="R93" s="16">
        <v>4</v>
      </c>
      <c r="S93" s="22">
        <v>6.38</v>
      </c>
      <c r="T93" s="23">
        <v>-1.5430189146411266</v>
      </c>
      <c r="U93" s="24">
        <v>72.571600000000004</v>
      </c>
      <c r="V93" s="25">
        <v>20.157499999999999</v>
      </c>
      <c r="W93" s="26">
        <v>26.499999999999989</v>
      </c>
      <c r="X93" s="29">
        <v>151.08000000000001</v>
      </c>
    </row>
    <row r="94" spans="1:24" ht="15.5" x14ac:dyDescent="0.35">
      <c r="A94" s="39">
        <v>93</v>
      </c>
      <c r="B94" s="13" t="s">
        <v>141</v>
      </c>
      <c r="C94" s="19">
        <v>2021</v>
      </c>
      <c r="D94" s="14" t="s">
        <v>27</v>
      </c>
      <c r="E94" s="12">
        <v>1490</v>
      </c>
      <c r="F94" s="41">
        <v>823.7</v>
      </c>
      <c r="G94" s="16">
        <v>35</v>
      </c>
      <c r="H94" s="40" t="s">
        <v>77</v>
      </c>
      <c r="I94" s="18">
        <v>0.63400000000000001</v>
      </c>
      <c r="J94" s="19">
        <v>3.82</v>
      </c>
      <c r="K94" s="20">
        <f t="shared" si="4"/>
        <v>5528187.9194630869</v>
      </c>
      <c r="L94" s="16">
        <v>14836.8</v>
      </c>
      <c r="M94" s="16">
        <v>366.5</v>
      </c>
      <c r="N94" s="16">
        <v>24561.3</v>
      </c>
      <c r="O94" s="21">
        <v>1.41</v>
      </c>
      <c r="P94" s="12">
        <v>5.13</v>
      </c>
      <c r="Q94" s="15">
        <v>9.0502779077405098</v>
      </c>
      <c r="R94" s="16">
        <v>4</v>
      </c>
      <c r="S94" s="22">
        <v>6.38</v>
      </c>
      <c r="T94" s="23">
        <v>-1.5430189146411266</v>
      </c>
      <c r="U94" s="24">
        <v>72.571600000000004</v>
      </c>
      <c r="V94" s="25">
        <v>20.157499999999999</v>
      </c>
      <c r="W94" s="26">
        <v>-3.6510067114094018</v>
      </c>
      <c r="X94" s="29">
        <v>49.69</v>
      </c>
    </row>
    <row r="95" spans="1:24" ht="15.5" x14ac:dyDescent="0.35">
      <c r="A95" s="12">
        <v>94</v>
      </c>
      <c r="B95" s="13" t="s">
        <v>142</v>
      </c>
      <c r="C95" s="19">
        <v>2021</v>
      </c>
      <c r="D95" s="14" t="s">
        <v>25</v>
      </c>
      <c r="E95" s="12">
        <v>555</v>
      </c>
      <c r="F95" s="41">
        <v>760</v>
      </c>
      <c r="G95" s="16">
        <v>37</v>
      </c>
      <c r="H95" s="40" t="s">
        <v>77</v>
      </c>
      <c r="I95" s="18">
        <v>0.75800000000000001</v>
      </c>
      <c r="J95" s="19">
        <v>44.06</v>
      </c>
      <c r="K95" s="20">
        <f t="shared" si="4"/>
        <v>13693693.693693694</v>
      </c>
      <c r="L95" s="16">
        <v>5400.9</v>
      </c>
      <c r="M95" s="16">
        <v>529.9</v>
      </c>
      <c r="N95" s="16">
        <v>17013.2</v>
      </c>
      <c r="O95" s="21">
        <v>1.35</v>
      </c>
      <c r="P95" s="12">
        <v>5.13</v>
      </c>
      <c r="Q95" s="15">
        <v>9.0502779077405098</v>
      </c>
      <c r="R95" s="16">
        <v>4</v>
      </c>
      <c r="S95" s="22">
        <v>6.38</v>
      </c>
      <c r="T95" s="23">
        <v>-1.7911176968899292</v>
      </c>
      <c r="U95" s="24">
        <v>72.481099999999998</v>
      </c>
      <c r="V95" s="25">
        <v>20.190000000000001</v>
      </c>
      <c r="W95" s="26">
        <v>-5.0810810810810896</v>
      </c>
      <c r="X95" s="29">
        <v>64.67</v>
      </c>
    </row>
    <row r="96" spans="1:24" ht="15.5" x14ac:dyDescent="0.35">
      <c r="A96" s="12">
        <v>95</v>
      </c>
      <c r="B96" s="13" t="s">
        <v>143</v>
      </c>
      <c r="C96" s="19">
        <v>2021</v>
      </c>
      <c r="D96" s="14" t="s">
        <v>34</v>
      </c>
      <c r="E96" s="12">
        <v>187</v>
      </c>
      <c r="F96" s="41">
        <v>510</v>
      </c>
      <c r="G96" s="16">
        <v>13</v>
      </c>
      <c r="H96" s="40" t="s">
        <v>92</v>
      </c>
      <c r="I96" s="30">
        <v>1</v>
      </c>
      <c r="J96" s="19">
        <v>159.33000000000001</v>
      </c>
      <c r="K96" s="20">
        <f t="shared" si="4"/>
        <v>27272727.272727273</v>
      </c>
      <c r="L96" s="16">
        <v>2658.2</v>
      </c>
      <c r="M96" s="16">
        <v>346.5</v>
      </c>
      <c r="N96" s="16">
        <v>2895.8</v>
      </c>
      <c r="O96" s="21">
        <v>1.87</v>
      </c>
      <c r="P96" s="12">
        <v>5.13</v>
      </c>
      <c r="Q96" s="15">
        <v>9.0502779077405098</v>
      </c>
      <c r="R96" s="16">
        <v>4</v>
      </c>
      <c r="S96" s="22">
        <v>6.38</v>
      </c>
      <c r="T96" s="23">
        <v>1.2786915650319217</v>
      </c>
      <c r="U96" s="24">
        <v>72.973699999999994</v>
      </c>
      <c r="V96" s="25">
        <v>20.747499999999999</v>
      </c>
      <c r="W96" s="26">
        <v>11.470588235294112</v>
      </c>
      <c r="X96" s="29">
        <v>51.19</v>
      </c>
    </row>
    <row r="97" spans="1:24" ht="15.5" x14ac:dyDescent="0.35">
      <c r="A97" s="39">
        <v>96</v>
      </c>
      <c r="B97" s="13" t="s">
        <v>144</v>
      </c>
      <c r="C97" s="19">
        <v>2021</v>
      </c>
      <c r="D97" s="14" t="s">
        <v>27</v>
      </c>
      <c r="E97" s="12">
        <v>575</v>
      </c>
      <c r="F97" s="41">
        <v>596.41</v>
      </c>
      <c r="G97" s="16">
        <v>22</v>
      </c>
      <c r="H97" s="40" t="s">
        <v>79</v>
      </c>
      <c r="I97" s="18">
        <v>0.62239999999999995</v>
      </c>
      <c r="J97" s="19">
        <v>200.79</v>
      </c>
      <c r="K97" s="20">
        <f t="shared" si="4"/>
        <v>10372347.826086957</v>
      </c>
      <c r="L97" s="16">
        <v>2137.8000000000002</v>
      </c>
      <c r="M97" s="16">
        <v>313.2</v>
      </c>
      <c r="N97" s="16">
        <v>3626.2</v>
      </c>
      <c r="O97" s="21">
        <v>0.13</v>
      </c>
      <c r="P97" s="12">
        <v>5.13</v>
      </c>
      <c r="Q97" s="15">
        <v>9.0502779077405098</v>
      </c>
      <c r="R97" s="16">
        <v>4</v>
      </c>
      <c r="S97" s="22">
        <v>6.38</v>
      </c>
      <c r="T97" s="23">
        <v>-0.6749407056772907</v>
      </c>
      <c r="U97" s="24">
        <v>72.757199999999997</v>
      </c>
      <c r="V97" s="25">
        <v>25.56</v>
      </c>
      <c r="W97" s="26">
        <v>88.260869565217391</v>
      </c>
      <c r="X97" s="29">
        <v>86.01</v>
      </c>
    </row>
    <row r="98" spans="1:24" ht="15.5" x14ac:dyDescent="0.35">
      <c r="A98" s="12">
        <v>97</v>
      </c>
      <c r="B98" s="13" t="s">
        <v>145</v>
      </c>
      <c r="C98" s="19">
        <v>2021</v>
      </c>
      <c r="D98" s="14" t="s">
        <v>25</v>
      </c>
      <c r="E98" s="12">
        <v>627</v>
      </c>
      <c r="F98" s="41">
        <v>625.24</v>
      </c>
      <c r="G98" s="16">
        <v>29</v>
      </c>
      <c r="H98" s="40" t="s">
        <v>79</v>
      </c>
      <c r="I98" s="18">
        <v>0.98099999999999998</v>
      </c>
      <c r="J98" s="19">
        <v>83.29</v>
      </c>
      <c r="K98" s="20">
        <f t="shared" si="4"/>
        <v>9971929.8245614041</v>
      </c>
      <c r="L98" s="16">
        <v>9513.7999999999993</v>
      </c>
      <c r="M98" s="16">
        <v>976.6</v>
      </c>
      <c r="N98" s="16">
        <v>6322.9</v>
      </c>
      <c r="O98" s="21">
        <v>0.17</v>
      </c>
      <c r="P98" s="12">
        <v>5.13</v>
      </c>
      <c r="Q98" s="15">
        <v>9.0502779077405098</v>
      </c>
      <c r="R98" s="16">
        <v>4</v>
      </c>
      <c r="S98" s="22">
        <v>6.38</v>
      </c>
      <c r="T98" s="23">
        <v>-0.94591045538185581</v>
      </c>
      <c r="U98" s="24">
        <v>72.4953</v>
      </c>
      <c r="V98" s="25">
        <v>22.892499999999998</v>
      </c>
      <c r="W98" s="26">
        <v>0</v>
      </c>
      <c r="X98" s="29">
        <v>-7.7</v>
      </c>
    </row>
    <row r="99" spans="1:24" ht="15.5" x14ac:dyDescent="0.35">
      <c r="A99" s="12">
        <v>98</v>
      </c>
      <c r="B99" s="13" t="s">
        <v>146</v>
      </c>
      <c r="C99" s="19">
        <v>2021</v>
      </c>
      <c r="D99" s="14" t="s">
        <v>137</v>
      </c>
      <c r="E99" s="12">
        <v>94</v>
      </c>
      <c r="F99" s="41">
        <v>819.24</v>
      </c>
      <c r="G99" s="16">
        <v>21</v>
      </c>
      <c r="H99" s="12">
        <v>8</v>
      </c>
      <c r="I99" s="30">
        <v>1</v>
      </c>
      <c r="J99" s="19">
        <v>42.39</v>
      </c>
      <c r="K99" s="20">
        <f t="shared" si="4"/>
        <v>87153191.489361703</v>
      </c>
      <c r="L99" s="16">
        <v>10806.3</v>
      </c>
      <c r="M99" s="16">
        <v>1383.5</v>
      </c>
      <c r="N99" s="16">
        <v>23189</v>
      </c>
      <c r="O99" s="21">
        <v>0.02</v>
      </c>
      <c r="P99" s="12">
        <v>5.13</v>
      </c>
      <c r="Q99" s="15">
        <v>9.0502779077405098</v>
      </c>
      <c r="R99" s="16">
        <v>4</v>
      </c>
      <c r="S99" s="22">
        <v>6.38</v>
      </c>
      <c r="T99" s="23">
        <v>2.6911415986568663E-6</v>
      </c>
      <c r="U99" s="24">
        <v>72.732699999999994</v>
      </c>
      <c r="V99" s="25">
        <v>21.5425</v>
      </c>
      <c r="W99" s="26">
        <v>29.095744680851059</v>
      </c>
      <c r="X99" s="29">
        <v>-21.59</v>
      </c>
    </row>
    <row r="100" spans="1:24" ht="15.5" x14ac:dyDescent="0.35">
      <c r="A100" s="39">
        <v>99</v>
      </c>
      <c r="B100" s="13" t="s">
        <v>147</v>
      </c>
      <c r="C100" s="19">
        <v>2021</v>
      </c>
      <c r="D100" s="14" t="s">
        <v>48</v>
      </c>
      <c r="E100" s="12">
        <v>400</v>
      </c>
      <c r="F100" s="41">
        <v>100</v>
      </c>
      <c r="G100" s="16">
        <v>5</v>
      </c>
      <c r="H100" s="40" t="s">
        <v>77</v>
      </c>
      <c r="I100" s="18">
        <v>0.93330000000000002</v>
      </c>
      <c r="J100" s="19">
        <v>39.93</v>
      </c>
      <c r="K100" s="20">
        <f t="shared" si="4"/>
        <v>2500000</v>
      </c>
      <c r="L100" s="16">
        <v>994.3</v>
      </c>
      <c r="M100" s="16">
        <v>64.099999999999994</v>
      </c>
      <c r="N100" s="16">
        <v>339.5</v>
      </c>
      <c r="O100" s="21">
        <v>0.65</v>
      </c>
      <c r="P100" s="12">
        <v>5.13</v>
      </c>
      <c r="Q100" s="15">
        <v>9.0502779077405098</v>
      </c>
      <c r="R100" s="16">
        <v>4</v>
      </c>
      <c r="S100" s="22">
        <v>6.38</v>
      </c>
      <c r="T100" s="23">
        <v>0.769921298892009</v>
      </c>
      <c r="U100" s="24">
        <v>72.835899999999995</v>
      </c>
      <c r="V100" s="25">
        <v>21.504999999999999</v>
      </c>
      <c r="W100" s="26">
        <v>61.4375</v>
      </c>
      <c r="X100" s="29">
        <v>101.37</v>
      </c>
    </row>
    <row r="101" spans="1:24" ht="15.5" x14ac:dyDescent="0.35">
      <c r="A101" s="12">
        <v>100</v>
      </c>
      <c r="B101" s="13" t="s">
        <v>148</v>
      </c>
      <c r="C101" s="19">
        <v>2021</v>
      </c>
      <c r="D101" s="14" t="s">
        <v>34</v>
      </c>
      <c r="E101" s="12">
        <v>385</v>
      </c>
      <c r="F101" s="41">
        <v>412.63</v>
      </c>
      <c r="G101" s="16">
        <v>22</v>
      </c>
      <c r="H101" s="40" t="s">
        <v>77</v>
      </c>
      <c r="I101" s="18">
        <v>0.61309999999999998</v>
      </c>
      <c r="J101" s="19">
        <v>18.03</v>
      </c>
      <c r="K101" s="20">
        <f t="shared" si="4"/>
        <v>10717662.337662337</v>
      </c>
      <c r="L101" s="16">
        <v>6698.6</v>
      </c>
      <c r="M101" s="16">
        <v>28.4</v>
      </c>
      <c r="N101" s="16">
        <v>4844.8999999999996</v>
      </c>
      <c r="O101" s="21">
        <v>0</v>
      </c>
      <c r="P101" s="12">
        <v>5.13</v>
      </c>
      <c r="Q101" s="15">
        <v>9.0502779077405098</v>
      </c>
      <c r="R101" s="16">
        <v>4</v>
      </c>
      <c r="S101" s="22">
        <v>6.38</v>
      </c>
      <c r="T101" s="23">
        <v>0.1920023631060099</v>
      </c>
      <c r="U101" s="24">
        <v>73.067400000000006</v>
      </c>
      <c r="V101" s="25">
        <v>24.29</v>
      </c>
      <c r="W101" s="26">
        <v>15.83116883116883</v>
      </c>
      <c r="X101" s="29">
        <v>94.91</v>
      </c>
    </row>
    <row r="102" spans="1:24" ht="15.5" x14ac:dyDescent="0.35">
      <c r="A102" s="12">
        <v>101</v>
      </c>
      <c r="B102" s="13" t="s">
        <v>149</v>
      </c>
      <c r="C102" s="19">
        <v>2021</v>
      </c>
      <c r="D102" s="14" t="s">
        <v>32</v>
      </c>
      <c r="E102" s="12">
        <v>518</v>
      </c>
      <c r="F102" s="41">
        <v>1153.72</v>
      </c>
      <c r="G102" s="16">
        <v>11</v>
      </c>
      <c r="H102" s="40" t="s">
        <v>92</v>
      </c>
      <c r="I102" s="18">
        <v>0.52849999999999997</v>
      </c>
      <c r="J102" s="19">
        <v>26.66</v>
      </c>
      <c r="K102" s="20">
        <f t="shared" si="4"/>
        <v>22272586.872586872</v>
      </c>
      <c r="L102" s="12">
        <v>3986.4</v>
      </c>
      <c r="M102" s="16">
        <v>795.5</v>
      </c>
      <c r="N102" s="16">
        <v>35529.1</v>
      </c>
      <c r="O102" s="21">
        <v>3.04</v>
      </c>
      <c r="P102" s="12">
        <v>5.13</v>
      </c>
      <c r="Q102" s="15">
        <v>9.0502779077405098</v>
      </c>
      <c r="R102" s="16">
        <v>4</v>
      </c>
      <c r="S102" s="22">
        <v>6.38</v>
      </c>
      <c r="T102" s="23">
        <v>0.97010957239457718</v>
      </c>
      <c r="U102" s="24">
        <v>72.929699999999997</v>
      </c>
      <c r="V102" s="25">
        <v>23.245000000000001</v>
      </c>
      <c r="W102" s="26">
        <v>1.8436293436293347</v>
      </c>
      <c r="X102" s="29">
        <v>45.26</v>
      </c>
    </row>
    <row r="103" spans="1:24" ht="15.5" x14ac:dyDescent="0.35">
      <c r="A103" s="39">
        <v>102</v>
      </c>
      <c r="B103" s="13" t="s">
        <v>150</v>
      </c>
      <c r="C103" s="19">
        <v>2021</v>
      </c>
      <c r="D103" s="14" t="s">
        <v>25</v>
      </c>
      <c r="E103" s="12">
        <v>1490</v>
      </c>
      <c r="F103" s="41">
        <v>1176</v>
      </c>
      <c r="G103" s="16">
        <v>21</v>
      </c>
      <c r="H103" s="40" t="s">
        <v>94</v>
      </c>
      <c r="I103" s="18">
        <v>0.60050000000000003</v>
      </c>
      <c r="J103" s="19">
        <v>117.02</v>
      </c>
      <c r="K103" s="20">
        <f t="shared" si="4"/>
        <v>7892617.4496644298</v>
      </c>
      <c r="L103" s="16">
        <v>6234.4</v>
      </c>
      <c r="M103" s="16">
        <v>478.1</v>
      </c>
      <c r="N103" s="16">
        <v>4234.8</v>
      </c>
      <c r="O103" s="21">
        <v>1.42</v>
      </c>
      <c r="P103" s="12">
        <v>5.13</v>
      </c>
      <c r="Q103" s="15">
        <v>9.0502779077405098</v>
      </c>
      <c r="R103" s="16">
        <v>4</v>
      </c>
      <c r="S103" s="22">
        <v>6.38</v>
      </c>
      <c r="T103" s="23">
        <v>2.5673585483012635</v>
      </c>
      <c r="U103" s="24">
        <v>73.037999999999997</v>
      </c>
      <c r="V103" s="25">
        <v>22.422499999999999</v>
      </c>
      <c r="W103" s="26">
        <v>109.20469798657719</v>
      </c>
      <c r="X103" s="29">
        <v>56.31</v>
      </c>
    </row>
    <row r="104" spans="1:24" ht="15.5" x14ac:dyDescent="0.35">
      <c r="A104" s="12">
        <v>103</v>
      </c>
      <c r="B104" s="13" t="s">
        <v>151</v>
      </c>
      <c r="C104" s="19">
        <v>2021</v>
      </c>
      <c r="D104" s="14" t="s">
        <v>32</v>
      </c>
      <c r="E104" s="12">
        <v>26</v>
      </c>
      <c r="F104" s="41">
        <v>4633.38</v>
      </c>
      <c r="G104" s="16">
        <v>35</v>
      </c>
      <c r="H104" s="40" t="s">
        <v>92</v>
      </c>
      <c r="I104" s="30">
        <v>1</v>
      </c>
      <c r="J104" s="19">
        <v>3.49</v>
      </c>
      <c r="K104" s="20">
        <f t="shared" si="4"/>
        <v>1782069230.7692308</v>
      </c>
      <c r="L104" s="56">
        <v>134210.17000000001</v>
      </c>
      <c r="M104" s="16">
        <v>31921</v>
      </c>
      <c r="N104" s="16">
        <v>2784103.6</v>
      </c>
      <c r="O104" s="21">
        <v>7.38</v>
      </c>
      <c r="P104" s="12">
        <v>5.13</v>
      </c>
      <c r="Q104" s="15">
        <v>9.0502779077405098</v>
      </c>
      <c r="R104" s="16">
        <v>4</v>
      </c>
      <c r="S104" s="22">
        <v>6.38</v>
      </c>
      <c r="T104" s="23">
        <v>-1.3240436329160994</v>
      </c>
      <c r="U104" s="24">
        <v>73.125100000000003</v>
      </c>
      <c r="V104" s="25">
        <v>21.55</v>
      </c>
      <c r="W104" s="26">
        <v>-4.6153846153846132</v>
      </c>
      <c r="X104" s="29">
        <v>-7.06</v>
      </c>
    </row>
    <row r="105" spans="1:24" ht="15.5" x14ac:dyDescent="0.35">
      <c r="A105" s="12">
        <v>104</v>
      </c>
      <c r="B105" s="13" t="s">
        <v>152</v>
      </c>
      <c r="C105" s="12">
        <v>2020</v>
      </c>
      <c r="D105" s="14" t="s">
        <v>27</v>
      </c>
      <c r="E105" s="19">
        <v>315</v>
      </c>
      <c r="F105" s="41">
        <v>300</v>
      </c>
      <c r="G105" s="16">
        <v>19</v>
      </c>
      <c r="H105" s="40" t="s">
        <v>92</v>
      </c>
      <c r="I105" s="18">
        <v>0.51100000000000001</v>
      </c>
      <c r="J105" s="19">
        <v>15.04</v>
      </c>
      <c r="K105" s="20">
        <f t="shared" si="4"/>
        <v>9523809.5238095243</v>
      </c>
      <c r="L105" s="16">
        <v>590</v>
      </c>
      <c r="M105" s="16">
        <v>-135.80000000000001</v>
      </c>
      <c r="N105" s="16">
        <v>1968.7</v>
      </c>
      <c r="O105" s="21">
        <v>0.61</v>
      </c>
      <c r="P105" s="15">
        <v>6.62</v>
      </c>
      <c r="Q105" s="15">
        <v>-5.8310532203120697</v>
      </c>
      <c r="R105" s="16">
        <v>4</v>
      </c>
      <c r="S105" s="22">
        <v>7.86</v>
      </c>
      <c r="T105" s="23">
        <v>0.2628426341480859</v>
      </c>
      <c r="U105" s="24">
        <v>73.813199999999995</v>
      </c>
      <c r="V105" s="25">
        <v>20.495000000000001</v>
      </c>
      <c r="W105" s="26">
        <v>29.317460317460327</v>
      </c>
      <c r="X105" s="29">
        <v>-19.59</v>
      </c>
    </row>
    <row r="106" spans="1:24" ht="15.5" x14ac:dyDescent="0.35">
      <c r="A106" s="39">
        <v>105</v>
      </c>
      <c r="B106" s="13" t="s">
        <v>153</v>
      </c>
      <c r="C106" s="12">
        <v>2020</v>
      </c>
      <c r="D106" s="14" t="s">
        <v>36</v>
      </c>
      <c r="E106" s="12">
        <v>288</v>
      </c>
      <c r="F106" s="15">
        <v>540.54</v>
      </c>
      <c r="G106" s="16">
        <v>25</v>
      </c>
      <c r="H106" s="40" t="s">
        <v>96</v>
      </c>
      <c r="I106" s="18">
        <v>0.52449999999999997</v>
      </c>
      <c r="J106" s="12">
        <v>198.02</v>
      </c>
      <c r="K106" s="20">
        <f t="shared" si="4"/>
        <v>18768750</v>
      </c>
      <c r="L106" s="16">
        <v>7040.1</v>
      </c>
      <c r="M106" s="16">
        <v>282.10000000000002</v>
      </c>
      <c r="N106" s="16">
        <v>5725.9</v>
      </c>
      <c r="O106" s="21">
        <v>0.5</v>
      </c>
      <c r="P106" s="15">
        <v>6.62</v>
      </c>
      <c r="Q106" s="15">
        <v>-5.8310532203120697</v>
      </c>
      <c r="R106" s="16">
        <v>4</v>
      </c>
      <c r="S106" s="22">
        <v>7.86</v>
      </c>
      <c r="T106" s="23">
        <v>1.0892501341803209</v>
      </c>
      <c r="U106" s="24">
        <v>73.433599999999998</v>
      </c>
      <c r="V106" s="25">
        <v>19.157499999999999</v>
      </c>
      <c r="W106" s="26">
        <v>106.31944444444446</v>
      </c>
      <c r="X106" s="29">
        <v>-36.39</v>
      </c>
    </row>
    <row r="107" spans="1:24" ht="15.5" x14ac:dyDescent="0.35">
      <c r="A107" s="12">
        <v>106</v>
      </c>
      <c r="B107" s="13" t="s">
        <v>154</v>
      </c>
      <c r="C107" s="12">
        <v>2020</v>
      </c>
      <c r="D107" s="14" t="s">
        <v>34</v>
      </c>
      <c r="E107" s="12">
        <v>60</v>
      </c>
      <c r="F107" s="15" t="s">
        <v>155</v>
      </c>
      <c r="G107" s="16">
        <v>7</v>
      </c>
      <c r="H107" s="40" t="s">
        <v>79</v>
      </c>
      <c r="I107" s="18">
        <v>0.99390000000000001</v>
      </c>
      <c r="J107" s="12">
        <v>156.65</v>
      </c>
      <c r="K107" s="20">
        <f>(810*10000000)/60</f>
        <v>135000000</v>
      </c>
      <c r="L107" s="28">
        <v>8412.7999999999993</v>
      </c>
      <c r="M107" s="28">
        <v>-765.7</v>
      </c>
      <c r="N107" s="28">
        <v>11990.2</v>
      </c>
      <c r="O107" s="45">
        <v>0.7</v>
      </c>
      <c r="P107" s="15">
        <v>6.62</v>
      </c>
      <c r="Q107" s="15">
        <v>-5.8310532203120697</v>
      </c>
      <c r="R107" s="16">
        <v>4</v>
      </c>
      <c r="S107" s="22">
        <v>7.86</v>
      </c>
      <c r="T107" s="23">
        <v>0.32781473081319429</v>
      </c>
      <c r="U107" s="24">
        <v>73.741299999999995</v>
      </c>
      <c r="V107" s="25">
        <v>18.0275</v>
      </c>
      <c r="W107" s="26">
        <v>125</v>
      </c>
      <c r="X107" s="52">
        <v>-36.299999999999997</v>
      </c>
    </row>
    <row r="108" spans="1:24" ht="15.5" x14ac:dyDescent="0.35">
      <c r="A108" s="12">
        <v>107</v>
      </c>
      <c r="B108" s="13" t="s">
        <v>156</v>
      </c>
      <c r="C108" s="12">
        <v>2020</v>
      </c>
      <c r="D108" s="14" t="s">
        <v>48</v>
      </c>
      <c r="E108" s="12">
        <v>1500</v>
      </c>
      <c r="F108" s="15">
        <v>6479.55</v>
      </c>
      <c r="G108" s="16">
        <v>42</v>
      </c>
      <c r="H108" s="40" t="s">
        <v>92</v>
      </c>
      <c r="I108" s="30">
        <v>0.74</v>
      </c>
      <c r="J108" s="12">
        <v>2.06</v>
      </c>
      <c r="K108" s="20">
        <f t="shared" ref="K108:K120" si="5">(F108*10000000)/E108</f>
        <v>43197000</v>
      </c>
      <c r="L108" s="16">
        <v>26332.400000000001</v>
      </c>
      <c r="M108" s="16">
        <v>7728.6</v>
      </c>
      <c r="N108" s="16">
        <v>40974.5</v>
      </c>
      <c r="O108" s="21">
        <v>0</v>
      </c>
      <c r="P108" s="15">
        <v>6.62</v>
      </c>
      <c r="Q108" s="15">
        <v>-5.8310532203120697</v>
      </c>
      <c r="R108" s="16">
        <v>4</v>
      </c>
      <c r="S108" s="22">
        <v>7.86</v>
      </c>
      <c r="T108" s="23">
        <v>0.68393248353782055</v>
      </c>
      <c r="U108" s="24">
        <v>74.252899999999997</v>
      </c>
      <c r="V108" s="25">
        <v>22.032499999999999</v>
      </c>
      <c r="W108" s="26">
        <v>21.303333333333331</v>
      </c>
      <c r="X108" s="29">
        <v>87.87</v>
      </c>
    </row>
    <row r="109" spans="1:24" ht="15.5" x14ac:dyDescent="0.35">
      <c r="A109" s="39">
        <v>108</v>
      </c>
      <c r="B109" s="13" t="s">
        <v>157</v>
      </c>
      <c r="C109" s="12">
        <v>2020</v>
      </c>
      <c r="D109" s="14" t="s">
        <v>32</v>
      </c>
      <c r="E109" s="12">
        <v>33</v>
      </c>
      <c r="F109" s="15">
        <v>517.6</v>
      </c>
      <c r="G109" s="16">
        <v>27</v>
      </c>
      <c r="H109" s="40" t="s">
        <v>94</v>
      </c>
      <c r="I109" s="43">
        <v>0.95489999999999997</v>
      </c>
      <c r="J109" s="12">
        <v>2.08</v>
      </c>
      <c r="K109" s="20">
        <f t="shared" si="5"/>
        <v>156848484.84848484</v>
      </c>
      <c r="L109" s="56">
        <v>28901.1</v>
      </c>
      <c r="M109" s="16">
        <v>2436.4</v>
      </c>
      <c r="N109" s="16">
        <v>193172.6</v>
      </c>
      <c r="O109" s="21">
        <v>9.75</v>
      </c>
      <c r="P109" s="15">
        <v>6.62</v>
      </c>
      <c r="Q109" s="15">
        <v>-5.8310532203120697</v>
      </c>
      <c r="R109" s="16">
        <v>4</v>
      </c>
      <c r="S109" s="22">
        <v>7.86</v>
      </c>
      <c r="T109" s="23">
        <v>0.22976698103483456</v>
      </c>
      <c r="U109" s="24">
        <v>73.655699999999996</v>
      </c>
      <c r="V109" s="25">
        <v>22.635000000000002</v>
      </c>
      <c r="W109" s="26">
        <v>-0.60606060606061463</v>
      </c>
      <c r="X109" s="29">
        <v>89.18</v>
      </c>
    </row>
    <row r="110" spans="1:24" ht="15.5" x14ac:dyDescent="0.35">
      <c r="A110" s="12">
        <v>109</v>
      </c>
      <c r="B110" s="13" t="s">
        <v>158</v>
      </c>
      <c r="C110" s="12">
        <v>2020</v>
      </c>
      <c r="D110" s="14" t="s">
        <v>27</v>
      </c>
      <c r="E110" s="12">
        <v>120</v>
      </c>
      <c r="F110" s="15">
        <v>61.2</v>
      </c>
      <c r="G110" s="16">
        <v>22</v>
      </c>
      <c r="H110" s="40" t="s">
        <v>77</v>
      </c>
      <c r="I110" s="18">
        <v>0.99960000000000004</v>
      </c>
      <c r="J110" s="12">
        <v>9.51</v>
      </c>
      <c r="K110" s="20">
        <f t="shared" si="5"/>
        <v>5100000</v>
      </c>
      <c r="L110" s="16">
        <v>1617.4</v>
      </c>
      <c r="M110" s="16">
        <v>201.8</v>
      </c>
      <c r="N110" s="16">
        <v>1008.6</v>
      </c>
      <c r="O110" s="21">
        <v>0.09</v>
      </c>
      <c r="P110" s="15">
        <v>6.62</v>
      </c>
      <c r="Q110" s="15">
        <v>-5.8310532203120697</v>
      </c>
      <c r="R110" s="16">
        <v>4</v>
      </c>
      <c r="S110" s="22">
        <v>7.86</v>
      </c>
      <c r="T110" s="23">
        <v>-2.4283616808884645</v>
      </c>
      <c r="U110" s="24">
        <v>73.360299999999995</v>
      </c>
      <c r="V110" s="25">
        <v>20.059999999999999</v>
      </c>
      <c r="W110" s="26">
        <v>13.750000000000002</v>
      </c>
      <c r="X110" s="29">
        <v>177.36</v>
      </c>
    </row>
    <row r="111" spans="1:24" ht="15.5" x14ac:dyDescent="0.35">
      <c r="A111" s="12">
        <v>110</v>
      </c>
      <c r="B111" s="13" t="s">
        <v>159</v>
      </c>
      <c r="C111" s="12">
        <v>2020</v>
      </c>
      <c r="D111" s="14" t="s">
        <v>27</v>
      </c>
      <c r="E111" s="12">
        <v>145</v>
      </c>
      <c r="F111" s="41">
        <v>443.69</v>
      </c>
      <c r="G111" s="16">
        <v>86</v>
      </c>
      <c r="H111" s="40" t="s">
        <v>94</v>
      </c>
      <c r="I111" s="30">
        <v>1</v>
      </c>
      <c r="J111" s="19">
        <v>157.41</v>
      </c>
      <c r="K111" s="20">
        <f t="shared" si="5"/>
        <v>30599310.344827585</v>
      </c>
      <c r="L111" s="16">
        <v>49048.4</v>
      </c>
      <c r="M111" s="16">
        <v>4084.8</v>
      </c>
      <c r="N111" s="16">
        <v>207306.6</v>
      </c>
      <c r="O111" s="21">
        <v>0</v>
      </c>
      <c r="P111" s="15">
        <v>6.62</v>
      </c>
      <c r="Q111" s="15">
        <v>-5.8310532203120697</v>
      </c>
      <c r="R111" s="16">
        <v>4</v>
      </c>
      <c r="S111" s="22">
        <v>7.86</v>
      </c>
      <c r="T111" s="23">
        <v>0.14059017810678612</v>
      </c>
      <c r="U111" s="24">
        <v>73.383399999999995</v>
      </c>
      <c r="V111" s="25">
        <v>18.350000000000001</v>
      </c>
      <c r="W111" s="26">
        <v>18.586206896551715</v>
      </c>
      <c r="X111" s="29">
        <v>52.25</v>
      </c>
    </row>
    <row r="112" spans="1:24" ht="15.5" x14ac:dyDescent="0.35">
      <c r="A112" s="39">
        <v>111</v>
      </c>
      <c r="B112" s="13" t="s">
        <v>160</v>
      </c>
      <c r="C112" s="12">
        <v>2020</v>
      </c>
      <c r="D112" s="14" t="s">
        <v>32</v>
      </c>
      <c r="E112" s="12">
        <v>554</v>
      </c>
      <c r="F112" s="41">
        <v>2159.88</v>
      </c>
      <c r="G112" s="16">
        <v>18</v>
      </c>
      <c r="H112" s="40" t="s">
        <v>94</v>
      </c>
      <c r="I112" s="18">
        <v>0.98960000000000004</v>
      </c>
      <c r="J112" s="19">
        <v>2.31</v>
      </c>
      <c r="K112" s="20">
        <f t="shared" si="5"/>
        <v>38987003.610108301</v>
      </c>
      <c r="L112" s="16">
        <v>347</v>
      </c>
      <c r="M112" s="16">
        <v>3091.6</v>
      </c>
      <c r="N112" s="16">
        <v>29667.8</v>
      </c>
      <c r="O112" s="21">
        <v>0</v>
      </c>
      <c r="P112" s="15">
        <v>6.62</v>
      </c>
      <c r="Q112" s="15">
        <v>-5.8310532203120697</v>
      </c>
      <c r="R112" s="16">
        <v>4</v>
      </c>
      <c r="S112" s="22">
        <v>7.86</v>
      </c>
      <c r="T112" s="23">
        <v>0.14059017810678612</v>
      </c>
      <c r="U112" s="24">
        <v>73.383399999999995</v>
      </c>
      <c r="V112" s="25">
        <v>18.350000000000001</v>
      </c>
      <c r="W112" s="26">
        <v>-14.043321299638992</v>
      </c>
      <c r="X112" s="29">
        <v>121.2</v>
      </c>
    </row>
    <row r="113" spans="1:24" ht="15.5" x14ac:dyDescent="0.35">
      <c r="A113" s="12">
        <v>112</v>
      </c>
      <c r="B113" s="13" t="s">
        <v>161</v>
      </c>
      <c r="C113" s="12">
        <v>2020</v>
      </c>
      <c r="D113" s="14" t="s">
        <v>32</v>
      </c>
      <c r="E113" s="12">
        <v>306</v>
      </c>
      <c r="F113" s="41">
        <v>600</v>
      </c>
      <c r="G113" s="16">
        <v>24</v>
      </c>
      <c r="H113" s="40" t="s">
        <v>94</v>
      </c>
      <c r="I113" s="18">
        <v>0.6542</v>
      </c>
      <c r="J113" s="19">
        <v>3.94</v>
      </c>
      <c r="K113" s="20">
        <f t="shared" si="5"/>
        <v>19607843.137254901</v>
      </c>
      <c r="L113" s="16">
        <v>30.6</v>
      </c>
      <c r="M113" s="16">
        <v>866.2</v>
      </c>
      <c r="N113" s="16">
        <v>23143.3</v>
      </c>
      <c r="O113" s="21">
        <v>1.26</v>
      </c>
      <c r="P113" s="15">
        <v>6.62</v>
      </c>
      <c r="Q113" s="15">
        <v>-5.8310532203120697</v>
      </c>
      <c r="R113" s="16">
        <v>4</v>
      </c>
      <c r="S113" s="22">
        <v>7.86</v>
      </c>
      <c r="T113" s="23">
        <v>0.75676611529348947</v>
      </c>
      <c r="U113" s="24">
        <v>73.924599999999998</v>
      </c>
      <c r="V113" s="25">
        <v>23.51</v>
      </c>
      <c r="W113" s="26">
        <v>-9.8692810457516309</v>
      </c>
      <c r="X113" s="29">
        <v>398.95</v>
      </c>
    </row>
    <row r="114" spans="1:24" ht="15.5" x14ac:dyDescent="0.35">
      <c r="A114" s="12">
        <v>113</v>
      </c>
      <c r="B114" s="13" t="s">
        <v>162</v>
      </c>
      <c r="C114" s="12">
        <v>2020</v>
      </c>
      <c r="D114" s="14" t="s">
        <v>32</v>
      </c>
      <c r="E114" s="12">
        <v>1230</v>
      </c>
      <c r="F114" s="41">
        <v>2244.33</v>
      </c>
      <c r="G114" s="16">
        <v>32</v>
      </c>
      <c r="H114" s="40" t="s">
        <v>77</v>
      </c>
      <c r="I114" s="18">
        <v>0.43530000000000002</v>
      </c>
      <c r="J114" s="19">
        <v>46.99</v>
      </c>
      <c r="K114" s="20">
        <f t="shared" si="5"/>
        <v>18246585.36585366</v>
      </c>
      <c r="L114" s="16">
        <v>6631.5</v>
      </c>
      <c r="M114" s="16">
        <v>1640.7</v>
      </c>
      <c r="N114" s="16">
        <v>11383.9</v>
      </c>
      <c r="O114" s="21">
        <v>0</v>
      </c>
      <c r="P114" s="15">
        <v>6.62</v>
      </c>
      <c r="Q114" s="15">
        <v>-5.8310532203120697</v>
      </c>
      <c r="R114" s="16">
        <v>4</v>
      </c>
      <c r="S114" s="22">
        <v>7.86</v>
      </c>
      <c r="T114" s="23">
        <v>1.5061075078572683</v>
      </c>
      <c r="U114" s="24">
        <v>73.627300000000005</v>
      </c>
      <c r="V114" s="25">
        <v>20.99</v>
      </c>
      <c r="W114" s="26">
        <v>13.951219512195115</v>
      </c>
      <c r="X114" s="29">
        <v>116.51</v>
      </c>
    </row>
    <row r="115" spans="1:24" ht="15.5" x14ac:dyDescent="0.35">
      <c r="A115" s="39">
        <v>114</v>
      </c>
      <c r="B115" s="13" t="s">
        <v>163</v>
      </c>
      <c r="C115" s="12">
        <v>2020</v>
      </c>
      <c r="D115" s="14" t="s">
        <v>25</v>
      </c>
      <c r="E115" s="12">
        <v>340</v>
      </c>
      <c r="F115" s="41">
        <v>318</v>
      </c>
      <c r="G115" s="16">
        <v>32</v>
      </c>
      <c r="H115" s="40" t="s">
        <v>77</v>
      </c>
      <c r="I115" s="30">
        <v>1</v>
      </c>
      <c r="J115" s="19">
        <v>149.30000000000001</v>
      </c>
      <c r="K115" s="20">
        <f t="shared" si="5"/>
        <v>9352941.1764705889</v>
      </c>
      <c r="L115" s="16">
        <v>2620.5</v>
      </c>
      <c r="M115" s="16">
        <v>488.5</v>
      </c>
      <c r="N115" s="16">
        <v>2259.1</v>
      </c>
      <c r="O115" s="21">
        <v>0.32</v>
      </c>
      <c r="P115" s="15">
        <v>6.62</v>
      </c>
      <c r="Q115" s="15">
        <v>-5.8310532203120697</v>
      </c>
      <c r="R115" s="16">
        <v>4</v>
      </c>
      <c r="S115" s="22">
        <v>7.86</v>
      </c>
      <c r="T115" s="23">
        <v>1.5061075078572683</v>
      </c>
      <c r="U115" s="24">
        <v>73.627300000000005</v>
      </c>
      <c r="V115" s="25">
        <v>20.99</v>
      </c>
      <c r="W115" s="26">
        <v>71.999999999999986</v>
      </c>
      <c r="X115" s="29">
        <v>-25.29</v>
      </c>
    </row>
    <row r="116" spans="1:24" ht="15.5" x14ac:dyDescent="0.35">
      <c r="A116" s="12">
        <v>115</v>
      </c>
      <c r="B116" s="13" t="s">
        <v>164</v>
      </c>
      <c r="C116" s="12">
        <v>2020</v>
      </c>
      <c r="D116" s="14" t="s">
        <v>137</v>
      </c>
      <c r="E116" s="12">
        <v>350</v>
      </c>
      <c r="F116" s="41">
        <v>600</v>
      </c>
      <c r="G116" s="16">
        <v>16</v>
      </c>
      <c r="H116" s="40" t="s">
        <v>79</v>
      </c>
      <c r="I116" s="30">
        <v>0.96</v>
      </c>
      <c r="J116" s="19">
        <v>73.3</v>
      </c>
      <c r="K116" s="20">
        <f t="shared" si="5"/>
        <v>17142857.142857142</v>
      </c>
      <c r="L116" s="16">
        <v>4065.8</v>
      </c>
      <c r="M116" s="16">
        <v>75.5</v>
      </c>
      <c r="N116" s="16">
        <v>3265.1</v>
      </c>
      <c r="O116" s="21">
        <v>0.39</v>
      </c>
      <c r="P116" s="15">
        <v>6.62</v>
      </c>
      <c r="Q116" s="15">
        <v>-5.8310532203120697</v>
      </c>
      <c r="R116" s="16">
        <v>4</v>
      </c>
      <c r="S116" s="22">
        <v>7.86</v>
      </c>
      <c r="T116" s="23">
        <v>-2.2112238210509401</v>
      </c>
      <c r="U116" s="24">
        <v>73.473699999999994</v>
      </c>
      <c r="V116" s="25">
        <v>20.712499999999999</v>
      </c>
      <c r="W116" s="26">
        <v>86.085714285714275</v>
      </c>
      <c r="X116" s="29">
        <v>202.03</v>
      </c>
    </row>
    <row r="117" spans="1:24" ht="15.5" x14ac:dyDescent="0.35">
      <c r="A117" s="12">
        <v>116</v>
      </c>
      <c r="B117" s="13" t="s">
        <v>165</v>
      </c>
      <c r="C117" s="12">
        <v>2020</v>
      </c>
      <c r="D117" s="14" t="s">
        <v>29</v>
      </c>
      <c r="E117" s="12">
        <v>166</v>
      </c>
      <c r="F117" s="41">
        <v>702.02</v>
      </c>
      <c r="G117" s="16">
        <v>9</v>
      </c>
      <c r="H117" s="40" t="s">
        <v>77</v>
      </c>
      <c r="I117" s="18">
        <v>0.61770000000000003</v>
      </c>
      <c r="J117" s="19">
        <v>150.97999999999999</v>
      </c>
      <c r="K117" s="20">
        <f t="shared" si="5"/>
        <v>42290361.445783131</v>
      </c>
      <c r="L117" s="16">
        <v>6991</v>
      </c>
      <c r="M117" s="16">
        <v>734.3</v>
      </c>
      <c r="N117" s="16">
        <v>5354.1</v>
      </c>
      <c r="O117" s="21">
        <v>2.5099999999999998</v>
      </c>
      <c r="P117" s="15">
        <v>6.62</v>
      </c>
      <c r="Q117" s="15">
        <v>-5.8310532203120697</v>
      </c>
      <c r="R117" s="16">
        <v>4</v>
      </c>
      <c r="S117" s="22">
        <v>7.86</v>
      </c>
      <c r="T117" s="23">
        <v>-0.76220440258345645</v>
      </c>
      <c r="U117" s="24">
        <v>73.672799999999995</v>
      </c>
      <c r="V117" s="25">
        <v>22.23</v>
      </c>
      <c r="W117" s="26">
        <v>123.46385542168674</v>
      </c>
      <c r="X117" s="29">
        <v>303.26</v>
      </c>
    </row>
    <row r="118" spans="1:24" ht="15.5" x14ac:dyDescent="0.35">
      <c r="A118" s="39">
        <v>117</v>
      </c>
      <c r="B118" s="13" t="s">
        <v>166</v>
      </c>
      <c r="C118" s="12">
        <v>2020</v>
      </c>
      <c r="D118" s="14" t="s">
        <v>25</v>
      </c>
      <c r="E118" s="12">
        <v>424</v>
      </c>
      <c r="F118" s="41">
        <v>496.49</v>
      </c>
      <c r="G118" s="16">
        <v>11</v>
      </c>
      <c r="H118" s="40" t="s">
        <v>77</v>
      </c>
      <c r="I118" s="18">
        <v>0.9506</v>
      </c>
      <c r="J118" s="19">
        <v>79.37</v>
      </c>
      <c r="K118" s="20">
        <f t="shared" si="5"/>
        <v>11709669.811320756</v>
      </c>
      <c r="L118" s="16">
        <v>6000.9</v>
      </c>
      <c r="M118" s="16">
        <v>655.20000000000005</v>
      </c>
      <c r="N118" s="16">
        <v>5218.3999999999996</v>
      </c>
      <c r="O118" s="21">
        <v>0.19</v>
      </c>
      <c r="P118" s="15">
        <v>6.62</v>
      </c>
      <c r="Q118" s="15">
        <v>-5.8310532203120697</v>
      </c>
      <c r="R118" s="16">
        <v>4</v>
      </c>
      <c r="S118" s="22">
        <v>7.86</v>
      </c>
      <c r="T118" s="23">
        <v>0.74421244812531728</v>
      </c>
      <c r="U118" s="24">
        <v>75.312299999999993</v>
      </c>
      <c r="V118" s="25">
        <v>26.29</v>
      </c>
      <c r="W118" s="26">
        <v>74.917452830188665</v>
      </c>
      <c r="X118" s="29">
        <v>67.17</v>
      </c>
    </row>
    <row r="119" spans="1:24" ht="15.5" x14ac:dyDescent="0.35">
      <c r="A119" s="12">
        <v>118</v>
      </c>
      <c r="B119" s="13" t="s">
        <v>167</v>
      </c>
      <c r="C119" s="12">
        <v>2020</v>
      </c>
      <c r="D119" s="14" t="s">
        <v>32</v>
      </c>
      <c r="E119" s="12">
        <v>755</v>
      </c>
      <c r="F119" s="41">
        <v>10354.77</v>
      </c>
      <c r="G119" s="16">
        <v>22</v>
      </c>
      <c r="H119" s="40" t="s">
        <v>94</v>
      </c>
      <c r="I119" s="30">
        <v>0.74</v>
      </c>
      <c r="J119" s="19">
        <v>26.54</v>
      </c>
      <c r="K119" s="20">
        <f t="shared" si="5"/>
        <v>137149271.52317882</v>
      </c>
      <c r="L119" s="16">
        <v>3425.3</v>
      </c>
      <c r="M119" s="16">
        <v>8649.7000000000007</v>
      </c>
      <c r="N119" s="16">
        <v>210914</v>
      </c>
      <c r="O119" s="21">
        <v>4.2</v>
      </c>
      <c r="P119" s="15">
        <v>6.62</v>
      </c>
      <c r="Q119" s="15">
        <v>-5.8310532203120697</v>
      </c>
      <c r="R119" s="16">
        <v>4.4000000000000004</v>
      </c>
      <c r="S119" s="22">
        <v>7.86</v>
      </c>
      <c r="T119" s="23">
        <v>-7.6120982903407413</v>
      </c>
      <c r="U119" s="24">
        <v>73.282399999999996</v>
      </c>
      <c r="V119" s="25">
        <v>23.247499999999999</v>
      </c>
      <c r="W119" s="26">
        <v>-9.7483443708609308</v>
      </c>
      <c r="X119" s="29">
        <v>49.13</v>
      </c>
    </row>
    <row r="120" spans="1:24" ht="15.5" x14ac:dyDescent="0.35">
      <c r="A120" s="12">
        <v>119</v>
      </c>
      <c r="B120" s="13" t="s">
        <v>168</v>
      </c>
      <c r="C120" s="19">
        <v>2019</v>
      </c>
      <c r="D120" s="14" t="s">
        <v>25</v>
      </c>
      <c r="E120" s="19">
        <v>178</v>
      </c>
      <c r="F120" s="41">
        <v>500</v>
      </c>
      <c r="G120" s="16">
        <v>32</v>
      </c>
      <c r="H120" s="40" t="s">
        <v>79</v>
      </c>
      <c r="I120" s="18">
        <v>0.90059999999999996</v>
      </c>
      <c r="J120" s="19">
        <v>2.21</v>
      </c>
      <c r="K120" s="20">
        <f t="shared" si="5"/>
        <v>28089887.640449438</v>
      </c>
      <c r="L120" s="16">
        <v>15722.4</v>
      </c>
      <c r="M120" s="16">
        <v>821.3</v>
      </c>
      <c r="N120" s="16">
        <v>11346.6</v>
      </c>
      <c r="O120" s="21">
        <v>0.94</v>
      </c>
      <c r="P120" s="12">
        <v>3.73</v>
      </c>
      <c r="Q120" s="15">
        <v>3.87143694070356</v>
      </c>
      <c r="R120" s="16">
        <v>5.15</v>
      </c>
      <c r="S120" s="22">
        <v>6.51</v>
      </c>
      <c r="T120" s="23">
        <v>8.2065761322261593E-2</v>
      </c>
      <c r="U120" s="24">
        <v>71.156899999999993</v>
      </c>
      <c r="V120" s="25">
        <v>12.324999999999999</v>
      </c>
      <c r="W120" s="26">
        <v>-6.2359550561797716</v>
      </c>
      <c r="X120" s="29">
        <v>69.05</v>
      </c>
    </row>
    <row r="121" spans="1:24" ht="15.5" x14ac:dyDescent="0.35">
      <c r="A121" s="39">
        <v>120</v>
      </c>
      <c r="B121" s="13" t="s">
        <v>169</v>
      </c>
      <c r="C121" s="19">
        <v>2019</v>
      </c>
      <c r="D121" s="14" t="s">
        <v>32</v>
      </c>
      <c r="E121" s="12">
        <v>37</v>
      </c>
      <c r="F121" s="41" t="s">
        <v>170</v>
      </c>
      <c r="G121" s="16">
        <v>2</v>
      </c>
      <c r="H121" s="40" t="s">
        <v>77</v>
      </c>
      <c r="I121" s="18">
        <v>0.94399999999999995</v>
      </c>
      <c r="J121" s="19">
        <v>165.66</v>
      </c>
      <c r="K121" s="20">
        <f>(409.68*10000000)/195</f>
        <v>21009230.769230768</v>
      </c>
      <c r="L121" s="56">
        <v>20375.75</v>
      </c>
      <c r="M121" s="16">
        <v>1992.2</v>
      </c>
      <c r="N121" s="16">
        <v>137583.6</v>
      </c>
      <c r="O121" s="21">
        <v>2.29</v>
      </c>
      <c r="P121" s="12">
        <v>3.73</v>
      </c>
      <c r="Q121" s="15">
        <v>3.87143694070356</v>
      </c>
      <c r="R121" s="16">
        <v>5.15</v>
      </c>
      <c r="S121" s="22">
        <v>6.51</v>
      </c>
      <c r="T121" s="23">
        <v>0.51762408533898341</v>
      </c>
      <c r="U121" s="24">
        <v>71.78</v>
      </c>
      <c r="V121" s="25">
        <v>13.3225</v>
      </c>
      <c r="W121" s="26">
        <v>51.216216216216225</v>
      </c>
      <c r="X121" s="29">
        <v>-30.56</v>
      </c>
    </row>
    <row r="122" spans="1:24" ht="15.5" x14ac:dyDescent="0.35">
      <c r="A122" s="12">
        <v>121</v>
      </c>
      <c r="B122" s="13" t="s">
        <v>171</v>
      </c>
      <c r="C122" s="19">
        <v>2019</v>
      </c>
      <c r="D122" s="14" t="s">
        <v>32</v>
      </c>
      <c r="E122" s="19">
        <v>195</v>
      </c>
      <c r="F122" s="41">
        <v>409.68</v>
      </c>
      <c r="G122" s="16">
        <v>99</v>
      </c>
      <c r="H122" s="40" t="s">
        <v>77</v>
      </c>
      <c r="I122" s="18">
        <v>0.50090000000000001</v>
      </c>
      <c r="J122" s="19">
        <v>86.91</v>
      </c>
      <c r="K122" s="20">
        <f>(F122*10000000)/E122</f>
        <v>21009230.769230768</v>
      </c>
      <c r="L122" s="16">
        <v>13475.15</v>
      </c>
      <c r="M122" s="16">
        <v>-1974.2</v>
      </c>
      <c r="N122" s="16">
        <v>169237.6</v>
      </c>
      <c r="O122" s="46"/>
      <c r="P122" s="12">
        <v>3.73</v>
      </c>
      <c r="Q122" s="15">
        <v>3.87143694070356</v>
      </c>
      <c r="R122" s="16">
        <v>5.15</v>
      </c>
      <c r="S122" s="22">
        <v>6.51</v>
      </c>
      <c r="T122" s="23">
        <v>0.40853241566756193</v>
      </c>
      <c r="U122" s="24">
        <v>71.590900000000005</v>
      </c>
      <c r="V122" s="25">
        <v>14.8375</v>
      </c>
      <c r="W122" s="26">
        <v>53.871794871794876</v>
      </c>
      <c r="X122" s="29">
        <v>-25.08</v>
      </c>
    </row>
    <row r="123" spans="1:24" ht="15.5" x14ac:dyDescent="0.35">
      <c r="A123" s="12">
        <v>122</v>
      </c>
      <c r="B123" s="13" t="s">
        <v>172</v>
      </c>
      <c r="C123" s="19">
        <v>2019</v>
      </c>
      <c r="D123" s="14" t="s">
        <v>34</v>
      </c>
      <c r="E123" s="19">
        <v>320</v>
      </c>
      <c r="F123" s="41">
        <v>645.12</v>
      </c>
      <c r="G123" s="16">
        <v>20</v>
      </c>
      <c r="H123" s="40" t="s">
        <v>94</v>
      </c>
      <c r="I123" s="30">
        <v>1</v>
      </c>
      <c r="J123" s="19">
        <v>111.91</v>
      </c>
      <c r="K123" s="20">
        <f>(F123*10000000)/E123</f>
        <v>20160000</v>
      </c>
      <c r="L123" s="16">
        <v>18710</v>
      </c>
      <c r="M123" s="16">
        <v>3085.6</v>
      </c>
      <c r="N123" s="16">
        <v>28500.799999999999</v>
      </c>
      <c r="O123" s="21">
        <v>0</v>
      </c>
      <c r="P123" s="12">
        <v>3.73</v>
      </c>
      <c r="Q123" s="15">
        <v>3.87143694070356</v>
      </c>
      <c r="R123" s="16">
        <v>5.15</v>
      </c>
      <c r="S123" s="22">
        <v>6.51</v>
      </c>
      <c r="T123" s="23">
        <v>0.31932977740036483</v>
      </c>
      <c r="U123" s="24">
        <v>71.116299999999995</v>
      </c>
      <c r="V123" s="25">
        <v>17.702500000000001</v>
      </c>
      <c r="W123" s="26">
        <v>127.421875</v>
      </c>
      <c r="X123" s="29">
        <v>83.65</v>
      </c>
    </row>
    <row r="124" spans="1:24" ht="15.5" x14ac:dyDescent="0.35">
      <c r="A124" s="39">
        <v>123</v>
      </c>
      <c r="B124" s="13" t="s">
        <v>173</v>
      </c>
      <c r="C124" s="19">
        <v>2019</v>
      </c>
      <c r="D124" s="14" t="s">
        <v>25</v>
      </c>
      <c r="E124" s="19">
        <v>60</v>
      </c>
      <c r="F124" s="41" t="s">
        <v>174</v>
      </c>
      <c r="G124" s="16">
        <v>24</v>
      </c>
      <c r="H124" s="40" t="s">
        <v>99</v>
      </c>
      <c r="I124" s="18">
        <v>0.54220000000000002</v>
      </c>
      <c r="J124" s="19">
        <v>1.1200000000000001</v>
      </c>
      <c r="K124" s="20">
        <f>(60*10000000)/60</f>
        <v>10000000</v>
      </c>
      <c r="L124" s="16">
        <v>3071.4</v>
      </c>
      <c r="M124" s="16">
        <v>-176.2</v>
      </c>
      <c r="N124" s="16">
        <v>7261.7</v>
      </c>
      <c r="O124" s="39">
        <v>1.48</v>
      </c>
      <c r="P124" s="12">
        <v>3.73</v>
      </c>
      <c r="Q124" s="15">
        <v>3.87143694070356</v>
      </c>
      <c r="R124" s="16">
        <v>5.15</v>
      </c>
      <c r="S124" s="22">
        <v>6.51</v>
      </c>
      <c r="T124" s="23">
        <v>0.31238241908245962</v>
      </c>
      <c r="U124" s="24">
        <v>70.8703</v>
      </c>
      <c r="V124" s="25">
        <v>17.579999999999998</v>
      </c>
      <c r="W124" s="26">
        <v>0.5833333333333357</v>
      </c>
      <c r="X124" s="29">
        <v>82.52</v>
      </c>
    </row>
    <row r="125" spans="1:24" ht="15.5" x14ac:dyDescent="0.35">
      <c r="A125" s="12">
        <v>124</v>
      </c>
      <c r="B125" s="13" t="s">
        <v>175</v>
      </c>
      <c r="C125" s="19">
        <v>2019</v>
      </c>
      <c r="D125" s="14" t="s">
        <v>27</v>
      </c>
      <c r="E125" s="19">
        <v>780</v>
      </c>
      <c r="F125" s="41" t="s">
        <v>176</v>
      </c>
      <c r="G125" s="16">
        <v>2</v>
      </c>
      <c r="H125" s="40" t="s">
        <v>99</v>
      </c>
      <c r="I125" s="30">
        <v>1</v>
      </c>
      <c r="J125" s="19">
        <v>0.85</v>
      </c>
      <c r="K125" s="20">
        <f>(3145.16*10000000)/780</f>
        <v>40322564.102564104</v>
      </c>
      <c r="L125" s="16">
        <v>82103.899999999994</v>
      </c>
      <c r="M125" s="16">
        <v>1961.5</v>
      </c>
      <c r="N125" s="16">
        <v>47709.1</v>
      </c>
      <c r="O125" s="39">
        <v>1.84</v>
      </c>
      <c r="P125" s="12">
        <v>3.73</v>
      </c>
      <c r="Q125" s="15">
        <v>3.87143694070356</v>
      </c>
      <c r="R125" s="16">
        <v>5.4</v>
      </c>
      <c r="S125" s="22">
        <v>6.51</v>
      </c>
      <c r="T125" s="23">
        <v>-0.33381883317199934</v>
      </c>
      <c r="U125" s="24">
        <v>70.849699999999999</v>
      </c>
      <c r="V125" s="25">
        <v>16.092500000000001</v>
      </c>
      <c r="W125" s="26">
        <v>-6.8974358974358916</v>
      </c>
      <c r="X125" s="29">
        <v>-65.86</v>
      </c>
    </row>
    <row r="126" spans="1:24" ht="15.5" x14ac:dyDescent="0.35">
      <c r="A126" s="12">
        <v>125</v>
      </c>
      <c r="B126" s="13" t="s">
        <v>177</v>
      </c>
      <c r="C126" s="19">
        <v>2019</v>
      </c>
      <c r="D126" s="14" t="s">
        <v>32</v>
      </c>
      <c r="E126" s="19">
        <v>856</v>
      </c>
      <c r="F126" s="41">
        <v>1202.3399999999999</v>
      </c>
      <c r="G126" s="16">
        <v>16</v>
      </c>
      <c r="H126" s="40" t="s">
        <v>99</v>
      </c>
      <c r="I126" s="18">
        <v>0.81210000000000004</v>
      </c>
      <c r="J126" s="19">
        <v>1.05</v>
      </c>
      <c r="K126" s="20">
        <f>(F126*10000000)/E126</f>
        <v>14046028.037383178</v>
      </c>
      <c r="L126" s="16">
        <v>51.2</v>
      </c>
      <c r="M126" s="16">
        <v>3087.5</v>
      </c>
      <c r="N126" s="16">
        <v>53198.400000000001</v>
      </c>
      <c r="O126" s="39">
        <v>1.61</v>
      </c>
      <c r="P126" s="12">
        <v>3.73</v>
      </c>
      <c r="Q126" s="15">
        <v>3.87143694070356</v>
      </c>
      <c r="R126" s="16">
        <v>5.4</v>
      </c>
      <c r="S126" s="22">
        <v>6.51</v>
      </c>
      <c r="T126" s="23">
        <v>5.5218152030267975E-2</v>
      </c>
      <c r="U126" s="24">
        <v>70.955299999999994</v>
      </c>
      <c r="V126" s="25">
        <v>16.739999999999998</v>
      </c>
      <c r="W126" s="26">
        <v>-0.95794392523365013</v>
      </c>
      <c r="X126" s="29">
        <v>-31.94</v>
      </c>
    </row>
    <row r="127" spans="1:24" ht="15.5" x14ac:dyDescent="0.35">
      <c r="A127" s="39">
        <v>126</v>
      </c>
      <c r="B127" s="13" t="s">
        <v>178</v>
      </c>
      <c r="C127" s="19">
        <v>2019</v>
      </c>
      <c r="D127" s="14" t="s">
        <v>137</v>
      </c>
      <c r="E127" s="19">
        <v>745</v>
      </c>
      <c r="F127" s="41">
        <v>459</v>
      </c>
      <c r="G127" s="16">
        <v>14</v>
      </c>
      <c r="H127" s="40" t="s">
        <v>77</v>
      </c>
      <c r="I127" s="18">
        <v>0.92169999999999996</v>
      </c>
      <c r="J127" s="19">
        <v>86.48</v>
      </c>
      <c r="K127" s="20">
        <f>(F127*10000000)/E127</f>
        <v>6161073.8255033558</v>
      </c>
      <c r="L127" s="16">
        <v>1212.0999999999999</v>
      </c>
      <c r="M127" s="16">
        <v>166.8</v>
      </c>
      <c r="N127" s="16">
        <v>1072.7</v>
      </c>
      <c r="O127" s="39">
        <v>0</v>
      </c>
      <c r="P127" s="12">
        <v>3.73</v>
      </c>
      <c r="Q127" s="15">
        <v>3.87143694070356</v>
      </c>
      <c r="R127" s="16">
        <v>5.4</v>
      </c>
      <c r="S127" s="22">
        <v>6.51</v>
      </c>
      <c r="T127" s="23">
        <v>1.6300510800976411</v>
      </c>
      <c r="U127" s="24">
        <v>68.856899999999996</v>
      </c>
      <c r="V127" s="25">
        <v>13.59</v>
      </c>
      <c r="W127" s="26">
        <v>17.268456375838923</v>
      </c>
      <c r="X127" s="29">
        <v>131.94999999999999</v>
      </c>
    </row>
    <row r="128" spans="1:24" ht="15.5" x14ac:dyDescent="0.35">
      <c r="A128" s="12">
        <v>127</v>
      </c>
      <c r="B128" s="13" t="s">
        <v>179</v>
      </c>
      <c r="C128" s="19">
        <v>2019</v>
      </c>
      <c r="D128" s="14" t="s">
        <v>34</v>
      </c>
      <c r="E128" s="19">
        <v>973</v>
      </c>
      <c r="F128" s="41">
        <v>475.59</v>
      </c>
      <c r="G128" s="16">
        <v>20</v>
      </c>
      <c r="H128" s="40" t="s">
        <v>77</v>
      </c>
      <c r="I128" s="30">
        <v>0.57999999999999996</v>
      </c>
      <c r="J128" s="19">
        <v>36.21</v>
      </c>
      <c r="K128" s="20">
        <f>(F128*10000000)/E128</f>
        <v>4887872.5590955811</v>
      </c>
      <c r="L128" s="16">
        <v>4972.8</v>
      </c>
      <c r="M128" s="16">
        <v>125.9</v>
      </c>
      <c r="N128" s="16">
        <v>8257</v>
      </c>
      <c r="O128" s="39">
        <v>0</v>
      </c>
      <c r="P128" s="12">
        <v>3.73</v>
      </c>
      <c r="Q128" s="15">
        <v>3.87143694070356</v>
      </c>
      <c r="R128" s="16">
        <v>5.75</v>
      </c>
      <c r="S128" s="22">
        <v>6.51</v>
      </c>
      <c r="T128" s="23">
        <v>0.25174649128327775</v>
      </c>
      <c r="U128" s="24">
        <v>69.319199999999995</v>
      </c>
      <c r="V128" s="25">
        <v>14.75</v>
      </c>
      <c r="W128" s="26">
        <v>33.807810894141831</v>
      </c>
      <c r="X128" s="29">
        <v>61.28</v>
      </c>
    </row>
    <row r="129" spans="1:24" ht="15.5" x14ac:dyDescent="0.35">
      <c r="A129" s="12">
        <v>128</v>
      </c>
      <c r="B129" s="13" t="s">
        <v>180</v>
      </c>
      <c r="C129" s="19">
        <v>2019</v>
      </c>
      <c r="D129" s="14" t="s">
        <v>25</v>
      </c>
      <c r="E129" s="19">
        <v>215</v>
      </c>
      <c r="F129" s="41">
        <v>132.35</v>
      </c>
      <c r="G129" s="16">
        <v>28</v>
      </c>
      <c r="H129" s="40" t="s">
        <v>99</v>
      </c>
      <c r="I129" s="43">
        <v>0.63449999999999995</v>
      </c>
      <c r="J129" s="19">
        <v>41.07</v>
      </c>
      <c r="K129" s="20">
        <f>(F129*10000000)/E129</f>
        <v>6155813.9534883723</v>
      </c>
      <c r="L129" s="16">
        <v>2555.5</v>
      </c>
      <c r="M129" s="16">
        <v>210.4</v>
      </c>
      <c r="N129" s="16">
        <v>2478.6</v>
      </c>
      <c r="O129" s="39">
        <v>1.21</v>
      </c>
      <c r="P129" s="12">
        <v>3.73</v>
      </c>
      <c r="Q129" s="15">
        <v>3.87143694070356</v>
      </c>
      <c r="R129" s="16">
        <v>6</v>
      </c>
      <c r="S129" s="22">
        <v>6.51</v>
      </c>
      <c r="T129" s="23">
        <v>-1.2041312326598788</v>
      </c>
      <c r="U129" s="24">
        <v>70.144499999999994</v>
      </c>
      <c r="V129" s="25">
        <v>21.717500000000001</v>
      </c>
      <c r="W129" s="26">
        <v>22.581395348837212</v>
      </c>
      <c r="X129" s="29">
        <v>80.48</v>
      </c>
    </row>
    <row r="130" spans="1:24" ht="15.5" x14ac:dyDescent="0.35">
      <c r="A130" s="39">
        <v>129</v>
      </c>
      <c r="B130" s="13" t="s">
        <v>181</v>
      </c>
      <c r="C130" s="19">
        <v>2019</v>
      </c>
      <c r="D130" s="14" t="s">
        <v>25</v>
      </c>
      <c r="E130" s="19">
        <v>538</v>
      </c>
      <c r="F130" s="41" t="s">
        <v>182</v>
      </c>
      <c r="G130" s="16">
        <v>23</v>
      </c>
      <c r="H130" s="40" t="s">
        <v>92</v>
      </c>
      <c r="I130" s="18">
        <v>0.78939999999999999</v>
      </c>
      <c r="J130" s="19">
        <v>51.88</v>
      </c>
      <c r="K130" s="20">
        <f>(1346*10000000)/538</f>
        <v>25018587.360594794</v>
      </c>
      <c r="L130" s="16">
        <v>79105.5</v>
      </c>
      <c r="M130" s="16">
        <v>5014.3999999999996</v>
      </c>
      <c r="N130" s="16">
        <v>57507.9</v>
      </c>
      <c r="O130" s="39">
        <v>0.2</v>
      </c>
      <c r="P130" s="12">
        <v>3.73</v>
      </c>
      <c r="Q130" s="15">
        <v>3.87143694070356</v>
      </c>
      <c r="R130" s="16">
        <v>6</v>
      </c>
      <c r="S130" s="22">
        <v>6.51</v>
      </c>
      <c r="T130" s="23">
        <v>-0.29142069966021533</v>
      </c>
      <c r="U130" s="24">
        <v>69.539699999999996</v>
      </c>
      <c r="V130" s="25">
        <v>20.28</v>
      </c>
      <c r="W130" s="26">
        <v>21.71003717472118</v>
      </c>
      <c r="X130" s="29">
        <v>12.63</v>
      </c>
    </row>
    <row r="131" spans="1:24" ht="15.5" x14ac:dyDescent="0.35">
      <c r="A131" s="12">
        <v>130</v>
      </c>
      <c r="B131" s="13" t="s">
        <v>183</v>
      </c>
      <c r="C131" s="19">
        <v>2019</v>
      </c>
      <c r="D131" s="14" t="s">
        <v>48</v>
      </c>
      <c r="E131" s="19">
        <v>880</v>
      </c>
      <c r="F131" s="41">
        <v>1204.29</v>
      </c>
      <c r="G131" s="16">
        <v>39</v>
      </c>
      <c r="H131" s="40" t="s">
        <v>79</v>
      </c>
      <c r="I131" s="18">
        <v>0.99709999999999999</v>
      </c>
      <c r="J131" s="19">
        <v>5.83</v>
      </c>
      <c r="K131" s="20">
        <f>(F131*10000000)/E131</f>
        <v>13685113.636363637</v>
      </c>
      <c r="L131" s="16">
        <v>5802</v>
      </c>
      <c r="M131" s="16">
        <v>1014.6</v>
      </c>
      <c r="N131" s="16">
        <v>7713.2</v>
      </c>
      <c r="O131" s="39">
        <v>0.02</v>
      </c>
      <c r="P131" s="12">
        <v>3.73</v>
      </c>
      <c r="Q131" s="15">
        <v>3.87143694070356</v>
      </c>
      <c r="R131" s="16">
        <v>6</v>
      </c>
      <c r="S131" s="22">
        <v>6.51</v>
      </c>
      <c r="T131" s="23">
        <v>0.40279821702330537</v>
      </c>
      <c r="U131" s="24">
        <v>69.1965</v>
      </c>
      <c r="V131" s="25">
        <v>18.392499999999998</v>
      </c>
      <c r="W131" s="26">
        <v>9.0738636363636402</v>
      </c>
      <c r="X131" s="29">
        <v>39.35</v>
      </c>
    </row>
    <row r="132" spans="1:24" ht="15.5" x14ac:dyDescent="0.35">
      <c r="A132" s="12">
        <v>131</v>
      </c>
      <c r="B132" s="13" t="s">
        <v>184</v>
      </c>
      <c r="C132" s="19">
        <v>2019</v>
      </c>
      <c r="D132" s="14" t="s">
        <v>27</v>
      </c>
      <c r="E132" s="19">
        <v>19</v>
      </c>
      <c r="F132" s="41">
        <v>481.57</v>
      </c>
      <c r="G132" s="16">
        <v>16</v>
      </c>
      <c r="H132" s="40" t="s">
        <v>77</v>
      </c>
      <c r="I132" s="16">
        <v>100</v>
      </c>
      <c r="J132" s="19">
        <v>1.82</v>
      </c>
      <c r="K132" s="20">
        <f>(F132*10000000)/E132</f>
        <v>253457894.7368421</v>
      </c>
      <c r="L132" s="16">
        <v>100600.7</v>
      </c>
      <c r="M132" s="16">
        <v>6065.9</v>
      </c>
      <c r="N132" s="16">
        <v>115816.4</v>
      </c>
      <c r="O132" s="39">
        <v>0.75</v>
      </c>
      <c r="P132" s="12">
        <v>3.73</v>
      </c>
      <c r="Q132" s="15">
        <v>3.87143694070356</v>
      </c>
      <c r="R132" s="16">
        <v>6</v>
      </c>
      <c r="S132" s="22">
        <v>6.51</v>
      </c>
      <c r="T132" s="23">
        <v>0.10704311007139118</v>
      </c>
      <c r="U132" s="24">
        <v>68.8446</v>
      </c>
      <c r="V132" s="25">
        <v>18.782499999999999</v>
      </c>
      <c r="W132" s="26">
        <v>0.26315789473684581</v>
      </c>
      <c r="X132" s="29">
        <v>-3.67</v>
      </c>
    </row>
    <row r="133" spans="1:24" ht="15.5" x14ac:dyDescent="0.35">
      <c r="A133" s="39">
        <v>132</v>
      </c>
      <c r="B133" s="13" t="s">
        <v>185</v>
      </c>
      <c r="C133" s="19">
        <v>2019</v>
      </c>
      <c r="D133" s="14" t="s">
        <v>27</v>
      </c>
      <c r="E133" s="19">
        <v>120</v>
      </c>
      <c r="F133" s="41">
        <v>212.04</v>
      </c>
      <c r="G133" s="16">
        <v>55</v>
      </c>
      <c r="H133" s="40" t="s">
        <v>92</v>
      </c>
      <c r="I133" s="18">
        <v>0.89849999999999997</v>
      </c>
      <c r="J133" s="19">
        <v>1.46</v>
      </c>
      <c r="K133" s="20">
        <f>(F133*10000000)/E133</f>
        <v>17670000</v>
      </c>
      <c r="L133" s="16">
        <v>18495.400000000001</v>
      </c>
      <c r="M133" s="16">
        <v>766.3</v>
      </c>
      <c r="N133" s="16">
        <v>58587.7</v>
      </c>
      <c r="O133" s="39">
        <v>1.34</v>
      </c>
      <c r="P133" s="12">
        <v>3.73</v>
      </c>
      <c r="Q133" s="15">
        <v>3.87143694070356</v>
      </c>
      <c r="R133" s="16">
        <v>6.25</v>
      </c>
      <c r="S133" s="22">
        <v>6.51</v>
      </c>
      <c r="T133" s="23">
        <v>0.46585998271391216</v>
      </c>
      <c r="U133" s="24">
        <v>68.860399999999998</v>
      </c>
      <c r="V133" s="25">
        <v>16.032499999999999</v>
      </c>
      <c r="W133" s="26">
        <v>-5.0416666666666643</v>
      </c>
      <c r="X133" s="29">
        <v>-33.17</v>
      </c>
    </row>
    <row r="134" spans="1:24" ht="15.5" x14ac:dyDescent="0.35">
      <c r="A134" s="12">
        <v>133</v>
      </c>
      <c r="B134" s="13" t="s">
        <v>186</v>
      </c>
      <c r="C134" s="19">
        <v>2019</v>
      </c>
      <c r="D134" s="14" t="s">
        <v>40</v>
      </c>
      <c r="E134" s="19">
        <v>280</v>
      </c>
      <c r="F134" s="41">
        <v>1641.18</v>
      </c>
      <c r="G134" s="16">
        <v>33</v>
      </c>
      <c r="H134" s="40" t="s">
        <v>77</v>
      </c>
      <c r="I134" s="30">
        <v>1</v>
      </c>
      <c r="J134" s="19">
        <v>1.57</v>
      </c>
      <c r="K134" s="20">
        <f>(F134*10000000)/E134</f>
        <v>58613571.428571425</v>
      </c>
      <c r="L134" s="16">
        <v>8836</v>
      </c>
      <c r="M134" s="16">
        <v>-1008.7</v>
      </c>
      <c r="N134" s="16">
        <v>37550.400000000001</v>
      </c>
      <c r="O134" s="39">
        <v>5.09</v>
      </c>
      <c r="P134" s="12">
        <v>3.73</v>
      </c>
      <c r="Q134" s="15">
        <v>3.87143694070356</v>
      </c>
      <c r="R134" s="16">
        <v>6.25</v>
      </c>
      <c r="S134" s="22">
        <v>6.51</v>
      </c>
      <c r="T134" s="23">
        <v>-1.1364698267295323</v>
      </c>
      <c r="U134" s="24">
        <v>71.033299999999997</v>
      </c>
      <c r="V134" s="25">
        <v>17.122499999999999</v>
      </c>
      <c r="W134" s="26">
        <v>4.1785714285714244</v>
      </c>
      <c r="X134" s="29">
        <v>14.43</v>
      </c>
    </row>
    <row r="135" spans="1:24" ht="15.5" x14ac:dyDescent="0.35">
      <c r="A135" s="12">
        <v>134</v>
      </c>
      <c r="B135" s="13" t="s">
        <v>187</v>
      </c>
      <c r="C135" s="19">
        <v>2019</v>
      </c>
      <c r="D135" s="14" t="s">
        <v>29</v>
      </c>
      <c r="E135" s="19">
        <v>66</v>
      </c>
      <c r="F135" s="41" t="s">
        <v>188</v>
      </c>
      <c r="G135" s="16">
        <v>4</v>
      </c>
      <c r="H135" s="40" t="s">
        <v>79</v>
      </c>
      <c r="I135" s="18">
        <v>0.73080000000000001</v>
      </c>
      <c r="J135" s="19">
        <v>3.25</v>
      </c>
      <c r="K135" s="20">
        <f>(23*10000000)/66</f>
        <v>3484848.4848484849</v>
      </c>
      <c r="L135" s="16">
        <v>53.6</v>
      </c>
      <c r="M135" s="16">
        <v>-36</v>
      </c>
      <c r="N135" s="16">
        <v>254.8</v>
      </c>
      <c r="O135" s="39">
        <v>0.73</v>
      </c>
      <c r="P135" s="12">
        <v>3.73</v>
      </c>
      <c r="Q135" s="15">
        <v>3.87143694070356</v>
      </c>
      <c r="R135" s="16">
        <v>6.5</v>
      </c>
      <c r="S135" s="22">
        <v>6.51</v>
      </c>
      <c r="T135" s="23">
        <v>0.17074167060627399</v>
      </c>
      <c r="U135" s="24">
        <v>71.105099999999993</v>
      </c>
      <c r="V135" s="25">
        <v>17.690000000000001</v>
      </c>
      <c r="W135" s="26">
        <v>-9.3181818181818166</v>
      </c>
      <c r="X135" s="29">
        <v>3.34</v>
      </c>
    </row>
    <row r="136" spans="1:24" ht="15.5" x14ac:dyDescent="0.35">
      <c r="A136" s="39">
        <v>135</v>
      </c>
      <c r="B136" s="13" t="s">
        <v>189</v>
      </c>
      <c r="C136" s="19">
        <v>2018</v>
      </c>
      <c r="D136" s="14" t="s">
        <v>32</v>
      </c>
      <c r="E136" s="12">
        <v>821</v>
      </c>
      <c r="F136" s="41" t="s">
        <v>190</v>
      </c>
      <c r="G136" s="16">
        <v>7</v>
      </c>
      <c r="H136" s="40" t="s">
        <v>94</v>
      </c>
      <c r="I136" s="47">
        <v>0.61880000000000002</v>
      </c>
      <c r="J136" s="19">
        <v>0.97</v>
      </c>
      <c r="K136" s="20">
        <f>(1734.07*10000000)/821</f>
        <v>21121437.271619976</v>
      </c>
      <c r="L136" s="12">
        <v>4563.3900000000003</v>
      </c>
      <c r="M136" s="16">
        <v>930.9</v>
      </c>
      <c r="N136" s="16">
        <v>40756.400000000001</v>
      </c>
      <c r="O136" s="39">
        <v>2.59</v>
      </c>
      <c r="P136" s="12">
        <v>3.94</v>
      </c>
      <c r="Q136" s="15">
        <v>6.4538513449776902</v>
      </c>
      <c r="R136" s="16">
        <v>6.5</v>
      </c>
      <c r="S136" s="22">
        <v>7.65</v>
      </c>
      <c r="T136" s="23">
        <v>0.30630502740768217</v>
      </c>
      <c r="U136" s="24">
        <v>72.650499999999994</v>
      </c>
      <c r="V136" s="25">
        <v>16.922499999999999</v>
      </c>
      <c r="W136" s="26">
        <v>-5.6820950060901314</v>
      </c>
      <c r="X136" s="29">
        <v>106.5</v>
      </c>
    </row>
    <row r="137" spans="1:24" ht="15.5" x14ac:dyDescent="0.35">
      <c r="A137" s="12">
        <v>136</v>
      </c>
      <c r="B137" s="13" t="s">
        <v>191</v>
      </c>
      <c r="C137" s="19">
        <v>2018</v>
      </c>
      <c r="D137" s="14" t="s">
        <v>27</v>
      </c>
      <c r="E137" s="12">
        <v>118</v>
      </c>
      <c r="F137" s="15">
        <v>344.69</v>
      </c>
      <c r="G137" s="16">
        <v>105</v>
      </c>
      <c r="H137" s="40" t="s">
        <v>192</v>
      </c>
      <c r="I137" s="48">
        <v>1</v>
      </c>
      <c r="J137" s="19">
        <v>1.02</v>
      </c>
      <c r="K137" s="20">
        <f t="shared" ref="K137:K152" si="6">(F137*10000000)/E137</f>
        <v>29211016.949152544</v>
      </c>
      <c r="L137" s="16">
        <v>13510.8</v>
      </c>
      <c r="M137" s="16">
        <v>924</v>
      </c>
      <c r="N137" s="16">
        <v>43752.6</v>
      </c>
      <c r="O137" s="39">
        <v>0.01</v>
      </c>
      <c r="P137" s="12">
        <v>3.94</v>
      </c>
      <c r="Q137" s="15">
        <v>6.4538513449776902</v>
      </c>
      <c r="R137" s="16">
        <v>6.5</v>
      </c>
      <c r="S137" s="22">
        <v>7.65</v>
      </c>
      <c r="T137" s="23">
        <v>-2.668111470151195</v>
      </c>
      <c r="U137" s="24">
        <v>72.803600000000003</v>
      </c>
      <c r="V137" s="25">
        <v>16.835000000000001</v>
      </c>
      <c r="W137" s="26">
        <v>-12.457627118644069</v>
      </c>
      <c r="X137" s="29">
        <v>65.92</v>
      </c>
    </row>
    <row r="138" spans="1:24" ht="15.5" x14ac:dyDescent="0.35">
      <c r="A138" s="12">
        <v>137</v>
      </c>
      <c r="B138" s="13" t="s">
        <v>193</v>
      </c>
      <c r="C138" s="19">
        <v>2018</v>
      </c>
      <c r="D138" s="14" t="s">
        <v>27</v>
      </c>
      <c r="E138" s="12">
        <v>475</v>
      </c>
      <c r="F138" s="41">
        <v>470.49</v>
      </c>
      <c r="G138" s="16">
        <v>42</v>
      </c>
      <c r="H138" s="40" t="s">
        <v>92</v>
      </c>
      <c r="I138" s="43">
        <v>0.99719999999999998</v>
      </c>
      <c r="J138" s="19">
        <v>9.77</v>
      </c>
      <c r="K138" s="20">
        <f t="shared" si="6"/>
        <v>9905052.6315789465</v>
      </c>
      <c r="L138" s="16">
        <v>38497.599999999999</v>
      </c>
      <c r="M138" s="16">
        <v>3879</v>
      </c>
      <c r="N138" s="16">
        <v>130187.5</v>
      </c>
      <c r="O138" s="39">
        <v>0.42</v>
      </c>
      <c r="P138" s="12">
        <v>3.94</v>
      </c>
      <c r="Q138" s="15">
        <v>6.4538513449776902</v>
      </c>
      <c r="R138" s="16">
        <v>6.5</v>
      </c>
      <c r="S138" s="22">
        <v>7.65</v>
      </c>
      <c r="T138" s="23">
        <v>-0.42905570915185848</v>
      </c>
      <c r="U138" s="24">
        <v>72.678100000000001</v>
      </c>
      <c r="V138" s="25">
        <v>14.005000000000001</v>
      </c>
      <c r="W138" s="26">
        <v>-12.568421052631576</v>
      </c>
      <c r="X138" s="29">
        <v>-9.15</v>
      </c>
    </row>
    <row r="139" spans="1:24" ht="15.5" x14ac:dyDescent="0.35">
      <c r="A139" s="39">
        <v>138</v>
      </c>
      <c r="B139" s="13" t="s">
        <v>194</v>
      </c>
      <c r="C139" s="19">
        <v>2018</v>
      </c>
      <c r="D139" s="14" t="s">
        <v>32</v>
      </c>
      <c r="E139" s="12">
        <v>422</v>
      </c>
      <c r="F139" s="41">
        <v>1131.19</v>
      </c>
      <c r="G139" s="16">
        <v>27</v>
      </c>
      <c r="H139" s="40" t="s">
        <v>133</v>
      </c>
      <c r="I139" s="16" t="s">
        <v>195</v>
      </c>
      <c r="J139" s="12">
        <v>2.2200000000000002</v>
      </c>
      <c r="K139" s="20">
        <f t="shared" si="6"/>
        <v>26805450.236966826</v>
      </c>
      <c r="L139" s="16">
        <v>8655.5300000000007</v>
      </c>
      <c r="M139" s="16">
        <v>2124.8000000000002</v>
      </c>
      <c r="N139" s="16">
        <v>51774.9</v>
      </c>
      <c r="O139" s="39">
        <v>2.96</v>
      </c>
      <c r="P139" s="12">
        <v>3.94</v>
      </c>
      <c r="Q139" s="15">
        <v>6.4538513449776902</v>
      </c>
      <c r="R139" s="16">
        <v>6.5</v>
      </c>
      <c r="S139" s="22">
        <v>7.65</v>
      </c>
      <c r="T139" s="23">
        <v>0.10241208549032803</v>
      </c>
      <c r="U139" s="24">
        <v>68.953800000000001</v>
      </c>
      <c r="V139" s="25">
        <v>12.85</v>
      </c>
      <c r="W139" s="26">
        <v>1.1848341232230183E-2</v>
      </c>
      <c r="X139" s="29">
        <v>20.399999999999999</v>
      </c>
    </row>
    <row r="140" spans="1:24" ht="15.5" x14ac:dyDescent="0.35">
      <c r="A140" s="12">
        <v>139</v>
      </c>
      <c r="B140" s="13" t="s">
        <v>196</v>
      </c>
      <c r="C140" s="19">
        <v>2018</v>
      </c>
      <c r="D140" s="14" t="s">
        <v>32</v>
      </c>
      <c r="E140" s="12">
        <v>1100</v>
      </c>
      <c r="F140" s="41">
        <v>2800.33</v>
      </c>
      <c r="G140" s="16">
        <v>19</v>
      </c>
      <c r="H140" s="40" t="s">
        <v>79</v>
      </c>
      <c r="I140" s="18">
        <v>0.94879999999999998</v>
      </c>
      <c r="J140" s="19">
        <v>82.99</v>
      </c>
      <c r="K140" s="20">
        <f t="shared" si="6"/>
        <v>25457545.454545453</v>
      </c>
      <c r="L140" s="56">
        <v>17597.509999999998</v>
      </c>
      <c r="M140" s="16">
        <v>7112.9</v>
      </c>
      <c r="N140" s="16">
        <v>24842.5</v>
      </c>
      <c r="O140" s="39">
        <v>0</v>
      </c>
      <c r="P140" s="12">
        <v>3.94</v>
      </c>
      <c r="Q140" s="15">
        <v>6.4538513449776902</v>
      </c>
      <c r="R140" s="16">
        <v>6.5</v>
      </c>
      <c r="S140" s="22">
        <v>7.65</v>
      </c>
      <c r="T140" s="23">
        <v>0.2314977818463585</v>
      </c>
      <c r="U140" s="24">
        <v>68.704099999999997</v>
      </c>
      <c r="V140" s="25">
        <v>12.31</v>
      </c>
      <c r="W140" s="26">
        <v>65.086363636363643</v>
      </c>
      <c r="X140" s="29">
        <v>13.21</v>
      </c>
    </row>
    <row r="141" spans="1:24" ht="15.5" x14ac:dyDescent="0.35">
      <c r="A141" s="12">
        <v>140</v>
      </c>
      <c r="B141" s="13" t="s">
        <v>197</v>
      </c>
      <c r="C141" s="19">
        <v>2018</v>
      </c>
      <c r="D141" s="14" t="s">
        <v>34</v>
      </c>
      <c r="E141" s="12">
        <v>716</v>
      </c>
      <c r="F141" s="41">
        <v>1125.1300000000001</v>
      </c>
      <c r="G141" s="16">
        <v>21</v>
      </c>
      <c r="H141" s="40" t="s">
        <v>79</v>
      </c>
      <c r="I141" s="18">
        <v>0.43680000000000002</v>
      </c>
      <c r="J141" s="19">
        <v>5.22</v>
      </c>
      <c r="K141" s="20">
        <f t="shared" si="6"/>
        <v>15714106.145251399</v>
      </c>
      <c r="L141" s="16">
        <v>10009.9</v>
      </c>
      <c r="M141" s="16">
        <v>981</v>
      </c>
      <c r="N141" s="16">
        <v>6838.9</v>
      </c>
      <c r="O141" s="39">
        <v>0.01</v>
      </c>
      <c r="P141" s="12">
        <v>3.94</v>
      </c>
      <c r="Q141" s="15">
        <v>6.4538513449776902</v>
      </c>
      <c r="R141" s="16">
        <v>6.25</v>
      </c>
      <c r="S141" s="22">
        <v>7.65</v>
      </c>
      <c r="T141" s="23">
        <v>0.36529993305758551</v>
      </c>
      <c r="U141" s="24">
        <v>68.845799999999997</v>
      </c>
      <c r="V141" s="25">
        <v>13.535</v>
      </c>
      <c r="W141" s="26">
        <v>-7.9399441340782158</v>
      </c>
      <c r="X141" s="29">
        <v>11.06</v>
      </c>
    </row>
    <row r="142" spans="1:24" ht="15.5" x14ac:dyDescent="0.35">
      <c r="A142" s="39">
        <v>141</v>
      </c>
      <c r="B142" s="13" t="s">
        <v>198</v>
      </c>
      <c r="C142" s="19">
        <v>2018</v>
      </c>
      <c r="D142" s="14" t="s">
        <v>27</v>
      </c>
      <c r="E142" s="12">
        <v>967</v>
      </c>
      <c r="F142" s="41">
        <v>1945.77</v>
      </c>
      <c r="G142" s="16">
        <v>30</v>
      </c>
      <c r="H142" s="40" t="s">
        <v>77</v>
      </c>
      <c r="I142" s="18">
        <v>0.86960000000000004</v>
      </c>
      <c r="J142" s="19">
        <v>3.54</v>
      </c>
      <c r="K142" s="20">
        <f t="shared" si="6"/>
        <v>20121716.649431232</v>
      </c>
      <c r="L142" s="16">
        <v>21001.5</v>
      </c>
      <c r="M142" s="16">
        <v>698.3</v>
      </c>
      <c r="N142" s="16">
        <v>20136.7</v>
      </c>
      <c r="O142" s="39">
        <v>0.49</v>
      </c>
      <c r="P142" s="12">
        <v>3.94</v>
      </c>
      <c r="Q142" s="15">
        <v>6.4538513449776902</v>
      </c>
      <c r="R142" s="16">
        <v>6.25</v>
      </c>
      <c r="S142" s="22">
        <v>7.65</v>
      </c>
      <c r="T142" s="23">
        <v>0.21303184725225441</v>
      </c>
      <c r="U142" s="24">
        <v>68.938900000000004</v>
      </c>
      <c r="V142" s="25">
        <v>13.9475</v>
      </c>
      <c r="W142" s="26">
        <v>7.275077559462245</v>
      </c>
      <c r="X142" s="29">
        <v>-54.69</v>
      </c>
    </row>
    <row r="143" spans="1:24" ht="15.5" x14ac:dyDescent="0.35">
      <c r="A143" s="12">
        <v>142</v>
      </c>
      <c r="B143" s="13" t="s">
        <v>199</v>
      </c>
      <c r="C143" s="19">
        <v>2018</v>
      </c>
      <c r="D143" s="14" t="s">
        <v>25</v>
      </c>
      <c r="E143" s="12">
        <v>783</v>
      </c>
      <c r="F143" s="41">
        <v>600.20000000000005</v>
      </c>
      <c r="G143" s="16">
        <v>16</v>
      </c>
      <c r="H143" s="40" t="s">
        <v>79</v>
      </c>
      <c r="I143" s="30">
        <v>1</v>
      </c>
      <c r="J143" s="19">
        <v>8.77</v>
      </c>
      <c r="K143" s="20">
        <f t="shared" si="6"/>
        <v>7665389.5274584927</v>
      </c>
      <c r="L143" s="16">
        <v>8676.5</v>
      </c>
      <c r="M143" s="16">
        <v>1013.4</v>
      </c>
      <c r="N143" s="16">
        <v>5450.8</v>
      </c>
      <c r="O143" s="39">
        <v>0.13</v>
      </c>
      <c r="P143" s="12">
        <v>3.94</v>
      </c>
      <c r="Q143" s="15">
        <v>6.4538513449776902</v>
      </c>
      <c r="R143" s="16">
        <v>6.25</v>
      </c>
      <c r="S143" s="22">
        <v>7.65</v>
      </c>
      <c r="T143" s="23">
        <v>-0.53200111066517386</v>
      </c>
      <c r="U143" s="24">
        <v>67.769499999999994</v>
      </c>
      <c r="V143" s="25">
        <v>12.022500000000001</v>
      </c>
      <c r="W143" s="26">
        <v>5.0830140485312842</v>
      </c>
      <c r="X143" s="29">
        <v>74.010000000000005</v>
      </c>
    </row>
    <row r="144" spans="1:24" ht="15.5" x14ac:dyDescent="0.35">
      <c r="A144" s="12">
        <v>143</v>
      </c>
      <c r="B144" s="13" t="s">
        <v>200</v>
      </c>
      <c r="C144" s="19">
        <v>2018</v>
      </c>
      <c r="D144" s="14" t="s">
        <v>27</v>
      </c>
      <c r="E144" s="12">
        <v>185</v>
      </c>
      <c r="F144" s="41">
        <v>460.51</v>
      </c>
      <c r="G144" s="16">
        <v>44</v>
      </c>
      <c r="H144" s="40" t="s">
        <v>79</v>
      </c>
      <c r="I144" s="30">
        <v>1</v>
      </c>
      <c r="J144" s="19">
        <v>66.739999999999995</v>
      </c>
      <c r="K144" s="20">
        <f t="shared" si="6"/>
        <v>24892432.432432432</v>
      </c>
      <c r="L144" s="16">
        <v>14438.7</v>
      </c>
      <c r="M144" s="16">
        <v>3317.1</v>
      </c>
      <c r="N144" s="16">
        <v>52054.9</v>
      </c>
      <c r="O144" s="39">
        <v>1.38</v>
      </c>
      <c r="P144" s="12">
        <v>3.94</v>
      </c>
      <c r="Q144" s="15">
        <v>6.4538513449776902</v>
      </c>
      <c r="R144" s="16">
        <v>6.25</v>
      </c>
      <c r="S144" s="22">
        <v>7.65</v>
      </c>
      <c r="T144" s="23">
        <v>-0.53200111066517386</v>
      </c>
      <c r="U144" s="24">
        <v>67.769499999999994</v>
      </c>
      <c r="V144" s="25">
        <v>12.022500000000001</v>
      </c>
      <c r="W144" s="26">
        <v>15.297297297297305</v>
      </c>
      <c r="X144" s="29">
        <v>36.5</v>
      </c>
    </row>
    <row r="145" spans="1:24" ht="15.5" x14ac:dyDescent="0.35">
      <c r="A145" s="39">
        <v>144</v>
      </c>
      <c r="B145" s="13" t="s">
        <v>201</v>
      </c>
      <c r="C145" s="19">
        <v>2018</v>
      </c>
      <c r="D145" s="14" t="s">
        <v>32</v>
      </c>
      <c r="E145" s="12">
        <v>572</v>
      </c>
      <c r="F145" s="41">
        <v>1844</v>
      </c>
      <c r="G145" s="16">
        <v>9</v>
      </c>
      <c r="H145" s="40" t="s">
        <v>79</v>
      </c>
      <c r="I145" s="18">
        <v>0.90369999999999995</v>
      </c>
      <c r="J145" s="19">
        <v>6.65</v>
      </c>
      <c r="K145" s="20">
        <f t="shared" si="6"/>
        <v>32237762.237762239</v>
      </c>
      <c r="L145" s="12">
        <v>7193.03</v>
      </c>
      <c r="M145" s="16">
        <v>2119.4</v>
      </c>
      <c r="N145" s="16">
        <v>72750.899999999994</v>
      </c>
      <c r="O145" s="39">
        <v>2.06</v>
      </c>
      <c r="P145" s="12">
        <v>3.94</v>
      </c>
      <c r="Q145" s="15">
        <v>6.4538513449776902</v>
      </c>
      <c r="R145" s="16">
        <v>6</v>
      </c>
      <c r="S145" s="22">
        <v>7.65</v>
      </c>
      <c r="T145" s="23">
        <v>-0.75214039673851685</v>
      </c>
      <c r="U145" s="24">
        <v>67.220299999999995</v>
      </c>
      <c r="V145" s="25">
        <v>13.977499999999999</v>
      </c>
      <c r="W145" s="26">
        <v>2.465034965034969</v>
      </c>
      <c r="X145" s="29">
        <v>-36.5</v>
      </c>
    </row>
    <row r="146" spans="1:24" ht="15.5" x14ac:dyDescent="0.35">
      <c r="A146" s="12">
        <v>145</v>
      </c>
      <c r="B146" s="13" t="s">
        <v>202</v>
      </c>
      <c r="C146" s="19">
        <v>2018</v>
      </c>
      <c r="D146" s="14" t="s">
        <v>34</v>
      </c>
      <c r="E146" s="12">
        <v>56</v>
      </c>
      <c r="F146" s="41">
        <v>1038.68</v>
      </c>
      <c r="G146" s="16">
        <v>26</v>
      </c>
      <c r="H146" s="40" t="s">
        <v>99</v>
      </c>
      <c r="I146" s="18">
        <v>0.30549999999999999</v>
      </c>
      <c r="J146" s="19">
        <v>1.19</v>
      </c>
      <c r="K146" s="20">
        <f t="shared" si="6"/>
        <v>185478571.42857143</v>
      </c>
      <c r="L146" s="16">
        <v>2192.6</v>
      </c>
      <c r="M146" s="16">
        <v>66.099999999999994</v>
      </c>
      <c r="N146" s="16">
        <v>13426</v>
      </c>
      <c r="O146" s="39">
        <v>0.34</v>
      </c>
      <c r="P146" s="12">
        <v>3.94</v>
      </c>
      <c r="Q146" s="15">
        <v>6.4538513449776902</v>
      </c>
      <c r="R146" s="16">
        <v>6</v>
      </c>
      <c r="S146" s="22">
        <v>7.65</v>
      </c>
      <c r="T146" s="23">
        <v>0.4621705156994117</v>
      </c>
      <c r="U146" s="24">
        <v>65.0441</v>
      </c>
      <c r="V146" s="25">
        <v>15.7575</v>
      </c>
      <c r="W146" s="26">
        <v>27.946428571428584</v>
      </c>
      <c r="X146" s="29">
        <v>9.84</v>
      </c>
    </row>
    <row r="147" spans="1:24" ht="15.5" x14ac:dyDescent="0.35">
      <c r="A147" s="12">
        <v>146</v>
      </c>
      <c r="B147" s="13" t="s">
        <v>203</v>
      </c>
      <c r="C147" s="19">
        <v>2018</v>
      </c>
      <c r="D147" s="14" t="s">
        <v>32</v>
      </c>
      <c r="E147" s="12">
        <v>520</v>
      </c>
      <c r="F147" s="41">
        <v>4016.97</v>
      </c>
      <c r="G147" s="16">
        <v>23</v>
      </c>
      <c r="H147" s="40" t="s">
        <v>79</v>
      </c>
      <c r="I147" s="30">
        <v>1</v>
      </c>
      <c r="J147" s="19">
        <v>0.78</v>
      </c>
      <c r="K147" s="20">
        <f t="shared" si="6"/>
        <v>77249423.076923072</v>
      </c>
      <c r="L147" s="56">
        <v>14039</v>
      </c>
      <c r="M147" s="16">
        <v>3376.1</v>
      </c>
      <c r="N147" s="16">
        <v>29949.9</v>
      </c>
      <c r="O147" s="39">
        <v>13.34</v>
      </c>
      <c r="P147" s="12">
        <v>3.94</v>
      </c>
      <c r="Q147" s="15">
        <v>6.4538513449776902</v>
      </c>
      <c r="R147" s="16">
        <v>6</v>
      </c>
      <c r="S147" s="22">
        <v>7.65</v>
      </c>
      <c r="T147" s="23">
        <v>1.9425614213498636</v>
      </c>
      <c r="U147" s="24">
        <v>64.905500000000004</v>
      </c>
      <c r="V147" s="25">
        <v>15.195</v>
      </c>
      <c r="W147" s="26">
        <v>-14.40384615384615</v>
      </c>
      <c r="X147" s="29">
        <v>-48.44</v>
      </c>
    </row>
    <row r="148" spans="1:24" ht="15.5" x14ac:dyDescent="0.35">
      <c r="A148" s="39">
        <v>147</v>
      </c>
      <c r="B148" s="13" t="s">
        <v>204</v>
      </c>
      <c r="C148" s="19">
        <v>2018</v>
      </c>
      <c r="D148" s="14" t="s">
        <v>25</v>
      </c>
      <c r="E148" s="12">
        <v>90</v>
      </c>
      <c r="F148" s="41">
        <v>438.38</v>
      </c>
      <c r="G148" s="16">
        <v>45</v>
      </c>
      <c r="H148" s="40" t="s">
        <v>99</v>
      </c>
      <c r="I148" s="30">
        <v>1</v>
      </c>
      <c r="J148" s="19">
        <v>1.21</v>
      </c>
      <c r="K148" s="20">
        <f t="shared" si="6"/>
        <v>48708888.888888888</v>
      </c>
      <c r="L148" s="16">
        <v>8114.6</v>
      </c>
      <c r="M148" s="16">
        <v>1263.0999999999999</v>
      </c>
      <c r="N148" s="16">
        <v>11282.7</v>
      </c>
      <c r="O148" s="39">
        <v>0.08</v>
      </c>
      <c r="P148" s="12">
        <v>3.94</v>
      </c>
      <c r="Q148" s="15">
        <v>6.4538513449776902</v>
      </c>
      <c r="R148" s="16">
        <v>6</v>
      </c>
      <c r="S148" s="22">
        <v>7.65</v>
      </c>
      <c r="T148" s="23">
        <v>-1.1381123377257276</v>
      </c>
      <c r="U148" s="24">
        <v>65.133300000000006</v>
      </c>
      <c r="V148" s="25">
        <v>15.545</v>
      </c>
      <c r="W148" s="26">
        <v>5.5555555555552402E-2</v>
      </c>
      <c r="X148" s="29">
        <v>54.25</v>
      </c>
    </row>
    <row r="149" spans="1:24" ht="15.5" x14ac:dyDescent="0.35">
      <c r="A149" s="12">
        <v>148</v>
      </c>
      <c r="B149" s="13" t="s">
        <v>205</v>
      </c>
      <c r="C149" s="19">
        <v>2018</v>
      </c>
      <c r="D149" s="14" t="s">
        <v>27</v>
      </c>
      <c r="E149" s="12">
        <v>332</v>
      </c>
      <c r="F149" s="41">
        <v>565.6</v>
      </c>
      <c r="G149" s="16">
        <v>31</v>
      </c>
      <c r="H149" s="40" t="s">
        <v>99</v>
      </c>
      <c r="I149" s="18">
        <v>0.79779999999999995</v>
      </c>
      <c r="J149" s="19">
        <v>6.14</v>
      </c>
      <c r="K149" s="20">
        <f t="shared" si="6"/>
        <v>17036144.578313254</v>
      </c>
      <c r="L149" s="16">
        <v>15034</v>
      </c>
      <c r="M149" s="16">
        <v>384.9</v>
      </c>
      <c r="N149" s="16">
        <v>8594.7000000000007</v>
      </c>
      <c r="O149" s="39">
        <v>0.72</v>
      </c>
      <c r="P149" s="12">
        <v>3.94</v>
      </c>
      <c r="Q149" s="15">
        <v>6.4538513449776902</v>
      </c>
      <c r="R149" s="16">
        <v>6</v>
      </c>
      <c r="S149" s="22">
        <v>7.65</v>
      </c>
      <c r="T149" s="23">
        <v>0.96996949682114186</v>
      </c>
      <c r="U149" s="24">
        <v>65.216200000000001</v>
      </c>
      <c r="V149" s="25">
        <v>15.1075</v>
      </c>
      <c r="W149" s="26">
        <v>-2.9668674698795252</v>
      </c>
      <c r="X149" s="29">
        <v>-18.350000000000001</v>
      </c>
    </row>
    <row r="150" spans="1:24" ht="15.5" x14ac:dyDescent="0.35">
      <c r="A150" s="12">
        <v>149</v>
      </c>
      <c r="B150" s="13" t="s">
        <v>206</v>
      </c>
      <c r="C150" s="19">
        <v>2018</v>
      </c>
      <c r="D150" s="14" t="s">
        <v>40</v>
      </c>
      <c r="E150" s="12">
        <v>180</v>
      </c>
      <c r="F150" s="41">
        <v>77.400000000000006</v>
      </c>
      <c r="G150" s="16">
        <v>11</v>
      </c>
      <c r="H150" s="40" t="s">
        <v>99</v>
      </c>
      <c r="I150" s="18">
        <v>0.90490000000000004</v>
      </c>
      <c r="J150" s="19">
        <v>2.5299999999999998</v>
      </c>
      <c r="K150" s="20">
        <f t="shared" si="6"/>
        <v>4300000</v>
      </c>
      <c r="L150" s="16">
        <v>1055</v>
      </c>
      <c r="M150" s="16">
        <v>79.099999999999994</v>
      </c>
      <c r="N150" s="16">
        <v>2481</v>
      </c>
      <c r="O150" s="46"/>
      <c r="P150" s="12">
        <v>3.94</v>
      </c>
      <c r="Q150" s="15">
        <v>6.4538513449776902</v>
      </c>
      <c r="R150" s="16">
        <v>6</v>
      </c>
      <c r="S150" s="22">
        <v>7.65</v>
      </c>
      <c r="T150" s="23">
        <v>0.96996949682114186</v>
      </c>
      <c r="U150" s="24">
        <v>65.216200000000001</v>
      </c>
      <c r="V150" s="25">
        <v>15.1075</v>
      </c>
      <c r="W150" s="26">
        <v>-20.666666666666661</v>
      </c>
      <c r="X150" s="49"/>
    </row>
    <row r="151" spans="1:24" ht="15.5" x14ac:dyDescent="0.35">
      <c r="A151" s="39">
        <v>150</v>
      </c>
      <c r="B151" s="13" t="s">
        <v>207</v>
      </c>
      <c r="C151" s="19">
        <v>2018</v>
      </c>
      <c r="D151" s="14" t="s">
        <v>27</v>
      </c>
      <c r="E151" s="12">
        <v>1215</v>
      </c>
      <c r="F151" s="41">
        <v>4144.0600000000004</v>
      </c>
      <c r="G151" s="16">
        <v>55</v>
      </c>
      <c r="H151" s="40" t="s">
        <v>77</v>
      </c>
      <c r="I151" s="30">
        <v>1</v>
      </c>
      <c r="J151" s="19">
        <v>0.99</v>
      </c>
      <c r="K151" s="20">
        <f t="shared" si="6"/>
        <v>34107489.711934164</v>
      </c>
      <c r="L151" s="16">
        <v>182560.2</v>
      </c>
      <c r="M151" s="16">
        <v>26156.3</v>
      </c>
      <c r="N151" s="16">
        <v>524912.1</v>
      </c>
      <c r="O151" s="21">
        <v>0.05</v>
      </c>
      <c r="P151" s="12">
        <v>3.94</v>
      </c>
      <c r="Q151" s="15">
        <v>6.4538513449776902</v>
      </c>
      <c r="R151" s="16">
        <v>6</v>
      </c>
      <c r="S151" s="22">
        <v>7.65</v>
      </c>
      <c r="T151" s="23">
        <v>-0.69175930244546868</v>
      </c>
      <c r="U151" s="24">
        <v>65.199299999999994</v>
      </c>
      <c r="V151" s="25">
        <v>15.6075</v>
      </c>
      <c r="W151" s="26">
        <v>-6.761316872427992</v>
      </c>
      <c r="X151" s="29">
        <v>-34.71</v>
      </c>
    </row>
    <row r="152" spans="1:24" ht="15.5" x14ac:dyDescent="0.35">
      <c r="A152" s="12">
        <v>151</v>
      </c>
      <c r="B152" s="13" t="s">
        <v>208</v>
      </c>
      <c r="C152" s="19">
        <v>2018</v>
      </c>
      <c r="D152" s="14" t="s">
        <v>32</v>
      </c>
      <c r="E152" s="12">
        <v>375</v>
      </c>
      <c r="F152" s="41">
        <v>4473.0200000000004</v>
      </c>
      <c r="G152" s="16">
        <v>4</v>
      </c>
      <c r="H152" s="40" t="s">
        <v>77</v>
      </c>
      <c r="I152" s="18">
        <v>0.89759999999999995</v>
      </c>
      <c r="J152" s="19">
        <v>14.56</v>
      </c>
      <c r="K152" s="20">
        <f t="shared" si="6"/>
        <v>119280533.33333336</v>
      </c>
      <c r="L152" s="16">
        <v>8884.0499999999993</v>
      </c>
      <c r="M152" s="16">
        <v>11119.5</v>
      </c>
      <c r="N152" s="16">
        <v>302360.8</v>
      </c>
      <c r="O152" s="46"/>
      <c r="P152" s="12">
        <v>3.94</v>
      </c>
      <c r="Q152" s="15">
        <v>6.4538513449776902</v>
      </c>
      <c r="R152" s="16">
        <v>6</v>
      </c>
      <c r="S152" s="22">
        <v>7.65</v>
      </c>
      <c r="T152" s="23">
        <v>0.52810422825780756</v>
      </c>
      <c r="U152" s="24">
        <v>65.037499999999994</v>
      </c>
      <c r="V152" s="25">
        <v>15.82</v>
      </c>
      <c r="W152" s="26">
        <v>27.160000000000007</v>
      </c>
      <c r="X152" s="29">
        <v>2.2999999999999998</v>
      </c>
    </row>
    <row r="153" spans="1:24" ht="15.5" x14ac:dyDescent="0.35">
      <c r="A153" s="12">
        <v>152</v>
      </c>
      <c r="B153" s="13" t="s">
        <v>209</v>
      </c>
      <c r="C153" s="19">
        <v>2018</v>
      </c>
      <c r="D153" s="14" t="s">
        <v>27</v>
      </c>
      <c r="E153" s="12">
        <v>428</v>
      </c>
      <c r="F153" s="41" t="s">
        <v>210</v>
      </c>
      <c r="G153" s="16">
        <v>48</v>
      </c>
      <c r="H153" s="40" t="s">
        <v>77</v>
      </c>
      <c r="I153" s="30">
        <v>1</v>
      </c>
      <c r="J153" s="19">
        <v>1.29</v>
      </c>
      <c r="K153" s="20">
        <f>(960.94*10000000)/428</f>
        <v>22451869.158878505</v>
      </c>
      <c r="L153" s="16">
        <v>48761</v>
      </c>
      <c r="M153" s="16">
        <v>5240.6000000000004</v>
      </c>
      <c r="N153" s="16">
        <v>84559.3</v>
      </c>
      <c r="O153" s="39">
        <v>0</v>
      </c>
      <c r="P153" s="12">
        <v>3.94</v>
      </c>
      <c r="Q153" s="15">
        <v>6.4538513449776902</v>
      </c>
      <c r="R153" s="16">
        <v>6</v>
      </c>
      <c r="S153" s="22">
        <v>7.65</v>
      </c>
      <c r="T153" s="23">
        <v>-1.1537625250253287</v>
      </c>
      <c r="U153" s="24">
        <v>64.936599999999999</v>
      </c>
      <c r="V153" s="25">
        <v>14.33</v>
      </c>
      <c r="W153" s="26">
        <v>-8.9252336448598104</v>
      </c>
      <c r="X153" s="29">
        <v>-26.45</v>
      </c>
    </row>
    <row r="154" spans="1:24" ht="15.5" x14ac:dyDescent="0.35">
      <c r="A154" s="39">
        <v>153</v>
      </c>
      <c r="B154" s="13" t="s">
        <v>211</v>
      </c>
      <c r="C154" s="19">
        <v>2018</v>
      </c>
      <c r="D154" s="14" t="s">
        <v>27</v>
      </c>
      <c r="E154" s="12">
        <v>270</v>
      </c>
      <c r="F154" s="41" t="s">
        <v>212</v>
      </c>
      <c r="G154" s="16">
        <v>15</v>
      </c>
      <c r="H154" s="40" t="s">
        <v>92</v>
      </c>
      <c r="I154" s="18">
        <v>0.87019999999999997</v>
      </c>
      <c r="J154" s="19">
        <v>4.9800000000000004</v>
      </c>
      <c r="K154" s="20">
        <f>(462*10000000)/270</f>
        <v>17111111.111111112</v>
      </c>
      <c r="L154" s="16">
        <v>10560.3</v>
      </c>
      <c r="M154" s="16">
        <v>534.20000000000005</v>
      </c>
      <c r="N154" s="16">
        <v>5747</v>
      </c>
      <c r="O154" s="39">
        <v>1.0900000000000001</v>
      </c>
      <c r="P154" s="12">
        <v>3.94</v>
      </c>
      <c r="Q154" s="15">
        <v>6.4538513449776902</v>
      </c>
      <c r="R154" s="16">
        <v>6</v>
      </c>
      <c r="S154" s="22">
        <v>7.65</v>
      </c>
      <c r="T154" s="23">
        <v>-0.15426077235870458</v>
      </c>
      <c r="U154" s="24">
        <v>65.103099999999998</v>
      </c>
      <c r="V154" s="25">
        <v>13.805</v>
      </c>
      <c r="W154" s="26">
        <v>-0.83333333333333337</v>
      </c>
      <c r="X154" s="29">
        <v>-4.78</v>
      </c>
    </row>
    <row r="155" spans="1:24" ht="15.5" x14ac:dyDescent="0.35">
      <c r="A155" s="12">
        <v>154</v>
      </c>
      <c r="B155" s="13" t="s">
        <v>213</v>
      </c>
      <c r="C155" s="19">
        <v>2018</v>
      </c>
      <c r="D155" s="14" t="s">
        <v>48</v>
      </c>
      <c r="E155" s="12">
        <v>190</v>
      </c>
      <c r="F155" s="41">
        <v>980.14</v>
      </c>
      <c r="G155" s="16">
        <v>31</v>
      </c>
      <c r="H155" s="40" t="s">
        <v>94</v>
      </c>
      <c r="I155" s="18">
        <v>0.37940000000000002</v>
      </c>
      <c r="J155" s="19">
        <v>1.31</v>
      </c>
      <c r="K155" s="20">
        <f>(F155*10000000)/E155</f>
        <v>51586315.789473683</v>
      </c>
      <c r="L155" s="16">
        <v>3795.1</v>
      </c>
      <c r="M155" s="16">
        <v>467.1</v>
      </c>
      <c r="N155" s="16">
        <v>33808</v>
      </c>
      <c r="O155" s="39">
        <v>0.78</v>
      </c>
      <c r="P155" s="12">
        <v>3.94</v>
      </c>
      <c r="Q155" s="15">
        <v>6.4538513449776902</v>
      </c>
      <c r="R155" s="16">
        <v>6</v>
      </c>
      <c r="S155" s="22">
        <v>7.65</v>
      </c>
      <c r="T155" s="23">
        <v>0.87264486395548135</v>
      </c>
      <c r="U155" s="24">
        <v>63.922199999999997</v>
      </c>
      <c r="V155" s="25">
        <v>16.315000000000001</v>
      </c>
      <c r="W155" s="26">
        <v>-4.4473684210526256</v>
      </c>
      <c r="X155" s="29">
        <v>-14.73</v>
      </c>
    </row>
    <row r="156" spans="1:24" ht="15.5" x14ac:dyDescent="0.35">
      <c r="A156" s="12">
        <v>155</v>
      </c>
      <c r="B156" s="13" t="s">
        <v>214</v>
      </c>
      <c r="C156" s="19">
        <v>2018</v>
      </c>
      <c r="D156" s="14" t="s">
        <v>25</v>
      </c>
      <c r="E156" s="12">
        <v>1480</v>
      </c>
      <c r="F156" s="41">
        <v>937.09</v>
      </c>
      <c r="G156" s="16">
        <v>32</v>
      </c>
      <c r="H156" s="40" t="s">
        <v>77</v>
      </c>
      <c r="I156" s="18">
        <v>0.76970000000000005</v>
      </c>
      <c r="J156" s="19">
        <v>19.96</v>
      </c>
      <c r="K156" s="20">
        <f>(F156*10000000)/E156</f>
        <v>6331689.1891891891</v>
      </c>
      <c r="L156" s="16">
        <v>15903.6</v>
      </c>
      <c r="M156" s="16">
        <v>1207.0999999999999</v>
      </c>
      <c r="N156" s="16">
        <v>11068.7</v>
      </c>
      <c r="O156" s="39">
        <v>0.49</v>
      </c>
      <c r="P156" s="12">
        <v>3.94</v>
      </c>
      <c r="Q156" s="15">
        <v>6.4538513449776902</v>
      </c>
      <c r="R156" s="16">
        <v>6</v>
      </c>
      <c r="S156" s="22">
        <v>7.65</v>
      </c>
      <c r="T156" s="23">
        <v>0.95592704763904701</v>
      </c>
      <c r="U156" s="24">
        <v>63.687800000000003</v>
      </c>
      <c r="V156" s="25">
        <v>15.93</v>
      </c>
      <c r="W156" s="26">
        <v>14.895270270270272</v>
      </c>
      <c r="X156" s="29">
        <v>-37.86</v>
      </c>
    </row>
    <row r="157" spans="1:24" ht="15.5" x14ac:dyDescent="0.35">
      <c r="A157" s="39">
        <v>156</v>
      </c>
      <c r="B157" s="13" t="s">
        <v>215</v>
      </c>
      <c r="C157" s="19">
        <v>2018</v>
      </c>
      <c r="D157" s="14" t="s">
        <v>27</v>
      </c>
      <c r="E157" s="12">
        <v>859</v>
      </c>
      <c r="F157" s="41">
        <v>600</v>
      </c>
      <c r="G157" s="16">
        <v>28</v>
      </c>
      <c r="H157" s="40" t="s">
        <v>94</v>
      </c>
      <c r="I157" s="18">
        <v>0.46629999999999999</v>
      </c>
      <c r="J157" s="19">
        <v>165.38</v>
      </c>
      <c r="K157" s="20">
        <f>(F157*10000000)/E157</f>
        <v>6984866.1233993014</v>
      </c>
      <c r="L157" s="16">
        <v>16327.3</v>
      </c>
      <c r="M157" s="16">
        <v>241.7</v>
      </c>
      <c r="N157" s="16">
        <v>12359.2</v>
      </c>
      <c r="O157" s="39">
        <v>1.1399999999999999</v>
      </c>
      <c r="P157" s="12">
        <v>3.94</v>
      </c>
      <c r="Q157" s="15">
        <v>6.4538513449776902</v>
      </c>
      <c r="R157" s="16">
        <v>6</v>
      </c>
      <c r="S157" s="22">
        <v>7.65</v>
      </c>
      <c r="T157" s="23">
        <v>-0.72548703550636473</v>
      </c>
      <c r="U157" s="24">
        <v>63.718299999999999</v>
      </c>
      <c r="V157" s="25">
        <v>13.9825</v>
      </c>
      <c r="W157" s="26">
        <v>44.965075669383005</v>
      </c>
      <c r="X157" s="29">
        <v>-40.24</v>
      </c>
    </row>
    <row r="158" spans="1:24" ht="15.5" x14ac:dyDescent="0.35">
      <c r="A158" s="12">
        <v>157</v>
      </c>
      <c r="B158" s="13" t="s">
        <v>216</v>
      </c>
      <c r="C158" s="19">
        <v>2018</v>
      </c>
      <c r="D158" s="14" t="s">
        <v>29</v>
      </c>
      <c r="E158" s="12">
        <v>245</v>
      </c>
      <c r="F158" s="41">
        <v>424.62</v>
      </c>
      <c r="G158" s="16">
        <v>26</v>
      </c>
      <c r="H158" s="40" t="s">
        <v>94</v>
      </c>
      <c r="I158" s="18">
        <v>0.68789999999999996</v>
      </c>
      <c r="J158" s="19">
        <v>8.25</v>
      </c>
      <c r="K158" s="20">
        <f>(F158*10000000)/E158</f>
        <v>17331428.571428571</v>
      </c>
      <c r="L158" s="16">
        <v>3831.1</v>
      </c>
      <c r="M158" s="16">
        <v>479.2</v>
      </c>
      <c r="N158" s="16">
        <v>5487.4</v>
      </c>
      <c r="O158" s="39">
        <v>0.27</v>
      </c>
      <c r="P158" s="12">
        <v>3.94</v>
      </c>
      <c r="Q158" s="15">
        <v>6.4538513449776902</v>
      </c>
      <c r="R158" s="16">
        <v>6</v>
      </c>
      <c r="S158" s="22">
        <v>7.65</v>
      </c>
      <c r="T158" s="23">
        <v>0.54880137131706586</v>
      </c>
      <c r="U158" s="24">
        <v>63.8431</v>
      </c>
      <c r="V158" s="25">
        <v>13.96</v>
      </c>
      <c r="W158" s="26">
        <v>3.0204081632653081</v>
      </c>
      <c r="X158" s="29">
        <v>16.22</v>
      </c>
    </row>
    <row r="159" spans="1:24" ht="15.5" x14ac:dyDescent="0.35">
      <c r="A159" s="12">
        <v>158</v>
      </c>
      <c r="B159" s="13" t="s">
        <v>217</v>
      </c>
      <c r="C159" s="19">
        <v>2018</v>
      </c>
      <c r="D159" s="14" t="s">
        <v>27</v>
      </c>
      <c r="E159" s="12">
        <v>275</v>
      </c>
      <c r="F159" s="41" t="s">
        <v>218</v>
      </c>
      <c r="G159" s="16">
        <v>21</v>
      </c>
      <c r="H159" s="40" t="s">
        <v>79</v>
      </c>
      <c r="I159" s="18">
        <v>0.33639999999999998</v>
      </c>
      <c r="J159" s="19">
        <v>248.51</v>
      </c>
      <c r="K159" s="20">
        <f>(156*10000000)/275</f>
        <v>5672727.2727272725</v>
      </c>
      <c r="L159" s="16">
        <v>2008.7</v>
      </c>
      <c r="M159" s="16">
        <v>174.5</v>
      </c>
      <c r="N159" s="16">
        <v>2458.8000000000002</v>
      </c>
      <c r="O159" s="39">
        <v>1.46</v>
      </c>
      <c r="P159" s="12">
        <v>3.94</v>
      </c>
      <c r="Q159" s="15">
        <v>6.4538513449776902</v>
      </c>
      <c r="R159" s="16">
        <v>6</v>
      </c>
      <c r="S159" s="22">
        <v>7.65</v>
      </c>
      <c r="T159" s="23">
        <v>0.65628420241033447</v>
      </c>
      <c r="U159" s="24">
        <v>63.526299999999999</v>
      </c>
      <c r="V159" s="25">
        <v>13.7325</v>
      </c>
      <c r="W159" s="26">
        <v>60.636363636363633</v>
      </c>
      <c r="X159" s="29">
        <v>-72.239999999999995</v>
      </c>
    </row>
    <row r="160" spans="1:24" ht="15.5" x14ac:dyDescent="0.35">
      <c r="A160" s="39">
        <v>159</v>
      </c>
      <c r="B160" s="13" t="s">
        <v>219</v>
      </c>
      <c r="C160" s="19">
        <v>2017</v>
      </c>
      <c r="D160" s="14" t="s">
        <v>25</v>
      </c>
      <c r="E160" s="12">
        <v>50</v>
      </c>
      <c r="F160" s="41">
        <v>70</v>
      </c>
      <c r="G160" s="16">
        <v>7</v>
      </c>
      <c r="H160" s="40" t="s">
        <v>92</v>
      </c>
      <c r="I160" s="18">
        <v>0.72919999999999996</v>
      </c>
      <c r="J160" s="19">
        <v>241.75</v>
      </c>
      <c r="K160" s="20">
        <f t="shared" ref="K160:K167" si="7">(F160*10000000)/E160</f>
        <v>14000000</v>
      </c>
      <c r="L160" s="16">
        <v>1985.4</v>
      </c>
      <c r="M160" s="16">
        <v>100.2</v>
      </c>
      <c r="N160" s="16">
        <v>1729.5</v>
      </c>
      <c r="O160" s="21" t="s">
        <v>220</v>
      </c>
      <c r="P160" s="12">
        <v>3.33</v>
      </c>
      <c r="Q160" s="15">
        <v>6.7953834189791102</v>
      </c>
      <c r="R160" s="16">
        <v>6</v>
      </c>
      <c r="S160" s="22">
        <v>7.73</v>
      </c>
      <c r="T160" s="23">
        <v>0.50391963084205615</v>
      </c>
      <c r="U160" s="24">
        <v>64.057699999999997</v>
      </c>
      <c r="V160" s="25">
        <v>12.185</v>
      </c>
      <c r="W160" s="26">
        <v>141.5</v>
      </c>
      <c r="X160" s="29">
        <v>-10.48</v>
      </c>
    </row>
    <row r="161" spans="1:24" ht="15.5" x14ac:dyDescent="0.35">
      <c r="A161" s="12">
        <v>160</v>
      </c>
      <c r="B161" s="13" t="s">
        <v>221</v>
      </c>
      <c r="C161" s="19">
        <v>2017</v>
      </c>
      <c r="D161" s="14" t="s">
        <v>27</v>
      </c>
      <c r="E161" s="12">
        <v>664</v>
      </c>
      <c r="F161" s="41">
        <v>649.70000000000005</v>
      </c>
      <c r="G161" s="16">
        <v>11</v>
      </c>
      <c r="H161" s="40" t="s">
        <v>79</v>
      </c>
      <c r="I161" s="30">
        <v>1</v>
      </c>
      <c r="J161" s="19">
        <v>7.56</v>
      </c>
      <c r="K161" s="20">
        <f t="shared" si="7"/>
        <v>9784638.5542168673</v>
      </c>
      <c r="L161" s="16">
        <v>5611.9</v>
      </c>
      <c r="M161" s="16">
        <v>457.5</v>
      </c>
      <c r="N161" s="16">
        <v>5150.5</v>
      </c>
      <c r="O161" s="21">
        <v>0.27</v>
      </c>
      <c r="P161" s="12">
        <v>3.33</v>
      </c>
      <c r="Q161" s="15">
        <v>6.7953834189791102</v>
      </c>
      <c r="R161" s="16">
        <v>6</v>
      </c>
      <c r="S161" s="22">
        <v>7.73</v>
      </c>
      <c r="T161" s="23">
        <v>0</v>
      </c>
      <c r="U161" s="24">
        <v>64.4649</v>
      </c>
      <c r="V161" s="25">
        <v>13.672499999999999</v>
      </c>
      <c r="W161" s="26">
        <v>3.3659638554216902</v>
      </c>
      <c r="X161" s="58">
        <v>-2.93</v>
      </c>
    </row>
    <row r="162" spans="1:24" ht="15.5" x14ac:dyDescent="0.35">
      <c r="A162" s="12">
        <v>161</v>
      </c>
      <c r="B162" s="13" t="s">
        <v>222</v>
      </c>
      <c r="C162" s="19">
        <v>2017</v>
      </c>
      <c r="D162" s="14" t="s">
        <v>48</v>
      </c>
      <c r="E162" s="12">
        <v>248</v>
      </c>
      <c r="F162" s="41">
        <v>504.8</v>
      </c>
      <c r="G162" s="16">
        <v>13</v>
      </c>
      <c r="H162" s="40" t="s">
        <v>77</v>
      </c>
      <c r="I162" s="18">
        <v>0.96889999999999998</v>
      </c>
      <c r="J162" s="19">
        <v>2.82</v>
      </c>
      <c r="K162" s="20">
        <f t="shared" si="7"/>
        <v>20354838.709677421</v>
      </c>
      <c r="L162" s="16">
        <v>3222.1</v>
      </c>
      <c r="M162" s="16">
        <v>303.60000000000002</v>
      </c>
      <c r="N162" s="16">
        <v>8032.8</v>
      </c>
      <c r="O162" s="21">
        <v>0.85</v>
      </c>
      <c r="P162" s="12">
        <v>3.33</v>
      </c>
      <c r="Q162" s="15">
        <v>6.7953834189791102</v>
      </c>
      <c r="R162" s="16">
        <v>6</v>
      </c>
      <c r="S162" s="22">
        <v>7.73</v>
      </c>
      <c r="T162" s="23">
        <v>0.79154514684795929</v>
      </c>
      <c r="U162" s="24">
        <v>64.538799999999995</v>
      </c>
      <c r="V162" s="25">
        <v>14.272500000000001</v>
      </c>
      <c r="W162" s="26">
        <v>-3.3870967741935507</v>
      </c>
      <c r="X162" s="29">
        <v>-38.61</v>
      </c>
    </row>
    <row r="163" spans="1:24" ht="15.5" x14ac:dyDescent="0.35">
      <c r="A163" s="39">
        <v>162</v>
      </c>
      <c r="B163" s="13" t="s">
        <v>223</v>
      </c>
      <c r="C163" s="19">
        <v>2017</v>
      </c>
      <c r="D163" s="14" t="s">
        <v>32</v>
      </c>
      <c r="E163" s="12">
        <v>290</v>
      </c>
      <c r="F163" s="41">
        <v>8695.01</v>
      </c>
      <c r="G163" s="16">
        <v>17</v>
      </c>
      <c r="H163" s="12">
        <v>8</v>
      </c>
      <c r="I163" s="18">
        <v>0.79039999999999999</v>
      </c>
      <c r="J163" s="19">
        <v>4.8899999999999997</v>
      </c>
      <c r="K163" s="20">
        <f t="shared" si="7"/>
        <v>299827931.03448278</v>
      </c>
      <c r="L163" s="42">
        <v>94489.7</v>
      </c>
      <c r="M163" s="42">
        <v>10080.6</v>
      </c>
      <c r="N163" s="50">
        <v>386172.7</v>
      </c>
      <c r="O163" s="21">
        <v>0</v>
      </c>
      <c r="P163" s="12">
        <v>3.33</v>
      </c>
      <c r="Q163" s="15">
        <v>6.7953834189791102</v>
      </c>
      <c r="R163" s="16">
        <v>6</v>
      </c>
      <c r="S163" s="22">
        <v>7.73</v>
      </c>
      <c r="T163" s="23">
        <v>0.67402147874398077</v>
      </c>
      <c r="U163" s="24">
        <v>64.896699999999996</v>
      </c>
      <c r="V163" s="25">
        <v>13.2675</v>
      </c>
      <c r="W163" s="26">
        <v>18.827586206896559</v>
      </c>
      <c r="X163" s="29">
        <v>14.16</v>
      </c>
    </row>
    <row r="164" spans="1:24" ht="15.5" x14ac:dyDescent="0.35">
      <c r="A164" s="12">
        <v>163</v>
      </c>
      <c r="B164" s="13" t="s">
        <v>224</v>
      </c>
      <c r="C164" s="19">
        <v>2017</v>
      </c>
      <c r="D164" s="14" t="s">
        <v>34</v>
      </c>
      <c r="E164" s="12">
        <v>750</v>
      </c>
      <c r="F164" s="41">
        <v>543.05999999999995</v>
      </c>
      <c r="G164" s="16">
        <v>36</v>
      </c>
      <c r="H164" s="12">
        <v>8</v>
      </c>
      <c r="I164" s="18">
        <v>0.90039999999999998</v>
      </c>
      <c r="J164" s="19">
        <v>1.9</v>
      </c>
      <c r="K164" s="20">
        <f t="shared" si="7"/>
        <v>7240799.9999999991</v>
      </c>
      <c r="L164" s="16">
        <v>6105.9</v>
      </c>
      <c r="M164" s="16">
        <v>306.39999999999998</v>
      </c>
      <c r="N164" s="16">
        <v>4254</v>
      </c>
      <c r="O164" s="21">
        <v>0.01</v>
      </c>
      <c r="P164" s="12">
        <v>3.33</v>
      </c>
      <c r="Q164" s="15">
        <v>6.7953834189791102</v>
      </c>
      <c r="R164" s="16">
        <v>6</v>
      </c>
      <c r="S164" s="22">
        <v>7.73</v>
      </c>
      <c r="T164" s="23">
        <v>-0.37506678272265337</v>
      </c>
      <c r="U164" s="24">
        <v>64.726699999999994</v>
      </c>
      <c r="V164" s="25">
        <v>13.022500000000001</v>
      </c>
      <c r="W164" s="26">
        <v>-8.1533333333333307</v>
      </c>
      <c r="X164" s="29">
        <v>-14.6</v>
      </c>
    </row>
    <row r="165" spans="1:24" ht="15.5" x14ac:dyDescent="0.35">
      <c r="A165" s="12">
        <v>164</v>
      </c>
      <c r="B165" s="13" t="s">
        <v>225</v>
      </c>
      <c r="C165" s="19">
        <v>2017</v>
      </c>
      <c r="D165" s="14" t="s">
        <v>32</v>
      </c>
      <c r="E165" s="12">
        <v>800</v>
      </c>
      <c r="F165" s="41">
        <v>9600</v>
      </c>
      <c r="G165" s="16">
        <v>98</v>
      </c>
      <c r="H165" s="12">
        <v>10</v>
      </c>
      <c r="I165" s="30">
        <v>1</v>
      </c>
      <c r="J165" s="19">
        <v>1.2</v>
      </c>
      <c r="K165" s="20">
        <f t="shared" si="7"/>
        <v>120000000</v>
      </c>
      <c r="L165" s="42">
        <v>216573.1</v>
      </c>
      <c r="M165" s="42">
        <v>7479.9</v>
      </c>
      <c r="N165" s="50">
        <v>616122.6</v>
      </c>
      <c r="O165" s="21">
        <v>0</v>
      </c>
      <c r="P165" s="12">
        <v>3.33</v>
      </c>
      <c r="Q165" s="15">
        <v>6.7953834189791102</v>
      </c>
      <c r="R165" s="16">
        <v>6</v>
      </c>
      <c r="S165" s="22">
        <v>7.73</v>
      </c>
      <c r="T165" s="23">
        <v>-0.93782357642842107</v>
      </c>
      <c r="U165" s="24">
        <v>64.576400000000007</v>
      </c>
      <c r="V165" s="25">
        <v>11.91</v>
      </c>
      <c r="W165" s="26">
        <v>-9.1124999999999972</v>
      </c>
      <c r="X165" s="29">
        <v>-68.33</v>
      </c>
    </row>
    <row r="166" spans="1:24" ht="15.5" x14ac:dyDescent="0.35">
      <c r="A166" s="39">
        <v>165</v>
      </c>
      <c r="B166" s="13" t="s">
        <v>226</v>
      </c>
      <c r="C166" s="19">
        <v>2017</v>
      </c>
      <c r="D166" s="14" t="s">
        <v>27</v>
      </c>
      <c r="E166" s="12">
        <v>429</v>
      </c>
      <c r="F166" s="41">
        <v>829.36</v>
      </c>
      <c r="G166" s="16">
        <v>9</v>
      </c>
      <c r="H166" s="12">
        <v>8</v>
      </c>
      <c r="I166" s="18">
        <v>0.58760000000000001</v>
      </c>
      <c r="J166" s="19">
        <v>7.9</v>
      </c>
      <c r="K166" s="20">
        <f t="shared" si="7"/>
        <v>19332400.932400931</v>
      </c>
      <c r="L166" s="16">
        <v>25886.9</v>
      </c>
      <c r="M166" s="16">
        <v>448</v>
      </c>
      <c r="N166" s="16">
        <v>7819.7</v>
      </c>
      <c r="O166" s="21">
        <v>0.09</v>
      </c>
      <c r="P166" s="12">
        <v>3.33</v>
      </c>
      <c r="Q166" s="15">
        <v>6.7953834189791102</v>
      </c>
      <c r="R166" s="16">
        <v>6</v>
      </c>
      <c r="S166" s="22">
        <v>7.73</v>
      </c>
      <c r="T166" s="23">
        <v>0.12416395462194764</v>
      </c>
      <c r="U166" s="24">
        <v>64.593000000000004</v>
      </c>
      <c r="V166" s="25">
        <v>12.005000000000001</v>
      </c>
      <c r="W166" s="26">
        <v>0.11655011655011654</v>
      </c>
      <c r="X166" s="29">
        <v>22.67</v>
      </c>
    </row>
    <row r="167" spans="1:24" ht="15.5" x14ac:dyDescent="0.35">
      <c r="A167" s="12">
        <v>166</v>
      </c>
      <c r="B167" s="13" t="s">
        <v>227</v>
      </c>
      <c r="C167" s="19">
        <v>2017</v>
      </c>
      <c r="D167" s="14" t="s">
        <v>32</v>
      </c>
      <c r="E167" s="12">
        <v>252</v>
      </c>
      <c r="F167" s="41">
        <v>1542.24</v>
      </c>
      <c r="G167" s="16">
        <v>22</v>
      </c>
      <c r="H167" s="12">
        <v>10</v>
      </c>
      <c r="I167" s="18">
        <v>0.85750000000000004</v>
      </c>
      <c r="J167" s="19">
        <v>81.540000000000006</v>
      </c>
      <c r="K167" s="20">
        <f t="shared" si="7"/>
        <v>61200000</v>
      </c>
      <c r="L167" s="56">
        <v>12696.34</v>
      </c>
      <c r="M167" s="16">
        <v>4047.8</v>
      </c>
      <c r="N167" s="16">
        <v>24199.8</v>
      </c>
      <c r="O167" s="21">
        <v>0</v>
      </c>
      <c r="P167" s="12">
        <v>3.33</v>
      </c>
      <c r="Q167" s="15">
        <v>6.7953834189791102</v>
      </c>
      <c r="R167" s="16">
        <v>6</v>
      </c>
      <c r="S167" s="22">
        <v>7.73</v>
      </c>
      <c r="T167" s="23">
        <v>-6.6988280315660323E-3</v>
      </c>
      <c r="U167" s="24">
        <v>65.093100000000007</v>
      </c>
      <c r="V167" s="25">
        <v>11.475</v>
      </c>
      <c r="W167" s="26">
        <v>12.857142857142847</v>
      </c>
      <c r="X167" s="27"/>
    </row>
    <row r="168" spans="1:24" ht="15.5" x14ac:dyDescent="0.35">
      <c r="A168" s="12">
        <v>167</v>
      </c>
      <c r="B168" s="13" t="s">
        <v>228</v>
      </c>
      <c r="C168" s="19">
        <v>2017</v>
      </c>
      <c r="D168" s="14" t="s">
        <v>32</v>
      </c>
      <c r="E168" s="12">
        <v>912</v>
      </c>
      <c r="F168" s="41" t="s">
        <v>229</v>
      </c>
      <c r="G168" s="16">
        <v>45</v>
      </c>
      <c r="H168" s="12">
        <v>12</v>
      </c>
      <c r="I168" s="30">
        <v>1</v>
      </c>
      <c r="J168" s="19">
        <v>1.38</v>
      </c>
      <c r="K168" s="20">
        <f>(11175.84*10000000)/912</f>
        <v>122542105.26315789</v>
      </c>
      <c r="L168" s="42">
        <v>93726.6</v>
      </c>
      <c r="M168" s="42">
        <v>13358.4</v>
      </c>
      <c r="N168" s="50">
        <v>594000</v>
      </c>
      <c r="O168" s="21">
        <v>0.17</v>
      </c>
      <c r="P168" s="12">
        <v>3.33</v>
      </c>
      <c r="Q168" s="15">
        <v>6.7953834189791102</v>
      </c>
      <c r="R168" s="16">
        <v>6</v>
      </c>
      <c r="S168" s="22">
        <v>7.73</v>
      </c>
      <c r="T168" s="23">
        <v>0.85866168676587329</v>
      </c>
      <c r="U168" s="24">
        <v>64.930099999999996</v>
      </c>
      <c r="V168" s="25">
        <v>11.262499999999999</v>
      </c>
      <c r="W168" s="26">
        <v>-4.133771929824567</v>
      </c>
      <c r="X168" s="29">
        <v>-64.16</v>
      </c>
    </row>
    <row r="169" spans="1:24" ht="15.5" x14ac:dyDescent="0.35">
      <c r="A169" s="39">
        <v>168</v>
      </c>
      <c r="B169" s="13" t="s">
        <v>230</v>
      </c>
      <c r="C169" s="19">
        <v>2017</v>
      </c>
      <c r="D169" s="14" t="s">
        <v>32</v>
      </c>
      <c r="E169" s="12">
        <v>1650</v>
      </c>
      <c r="F169" s="41" t="s">
        <v>231</v>
      </c>
      <c r="G169" s="16">
        <v>10</v>
      </c>
      <c r="H169" s="12">
        <v>12</v>
      </c>
      <c r="I169" s="18">
        <v>0.4466</v>
      </c>
      <c r="J169" s="19">
        <v>2.2799999999999998</v>
      </c>
      <c r="K169" s="20">
        <f>(1000.73*10000000)/1650</f>
        <v>6065030.3030303027</v>
      </c>
      <c r="L169" s="12">
        <v>2039.13</v>
      </c>
      <c r="M169" s="16">
        <v>1135.8</v>
      </c>
      <c r="N169" s="16">
        <v>7859</v>
      </c>
      <c r="O169" s="21">
        <v>0</v>
      </c>
      <c r="P169" s="12">
        <v>3.33</v>
      </c>
      <c r="Q169" s="15">
        <v>6.7953834189791102</v>
      </c>
      <c r="R169" s="16">
        <v>6</v>
      </c>
      <c r="S169" s="22">
        <v>7.73</v>
      </c>
      <c r="T169" s="23">
        <v>0.37746434995147621</v>
      </c>
      <c r="U169" s="24">
        <v>65.269099999999995</v>
      </c>
      <c r="V169" s="25">
        <v>11.73</v>
      </c>
      <c r="W169" s="26">
        <v>-1.2636363636363581</v>
      </c>
      <c r="X169" s="52">
        <v>-90.07</v>
      </c>
    </row>
    <row r="170" spans="1:24" ht="15.5" x14ac:dyDescent="0.35">
      <c r="A170" s="12">
        <v>169</v>
      </c>
      <c r="B170" s="13" t="s">
        <v>232</v>
      </c>
      <c r="C170" s="19">
        <v>2017</v>
      </c>
      <c r="D170" s="14" t="s">
        <v>32</v>
      </c>
      <c r="E170" s="12">
        <v>459</v>
      </c>
      <c r="F170" s="41" t="s">
        <v>233</v>
      </c>
      <c r="G170" s="16">
        <v>22</v>
      </c>
      <c r="H170" s="12">
        <v>8</v>
      </c>
      <c r="I170" s="18">
        <v>0.747</v>
      </c>
      <c r="J170" s="19">
        <v>128.38999999999999</v>
      </c>
      <c r="K170" s="20">
        <f>(460.04*10000000)/459</f>
        <v>10022657.952069717</v>
      </c>
      <c r="L170" s="16">
        <v>5051</v>
      </c>
      <c r="M170" s="16">
        <v>673.7</v>
      </c>
      <c r="N170" s="16">
        <v>20584.7</v>
      </c>
      <c r="O170" s="21">
        <v>4.7300000000000004</v>
      </c>
      <c r="P170" s="12">
        <v>3.33</v>
      </c>
      <c r="Q170" s="15">
        <v>6.7953834189791102</v>
      </c>
      <c r="R170" s="16">
        <v>6</v>
      </c>
      <c r="S170" s="22">
        <v>7.73</v>
      </c>
      <c r="T170" s="23">
        <v>-0.23059755043016422</v>
      </c>
      <c r="U170" s="24">
        <v>65.265199999999993</v>
      </c>
      <c r="V170" s="25">
        <v>11.112500000000001</v>
      </c>
      <c r="W170" s="26">
        <v>42.570806100217865</v>
      </c>
      <c r="X170" s="52">
        <v>-26.16</v>
      </c>
    </row>
    <row r="171" spans="1:24" ht="15.5" x14ac:dyDescent="0.35">
      <c r="A171" s="12">
        <v>170</v>
      </c>
      <c r="B171" s="13" t="s">
        <v>234</v>
      </c>
      <c r="C171" s="19">
        <v>2017</v>
      </c>
      <c r="D171" s="14" t="s">
        <v>36</v>
      </c>
      <c r="E171" s="12">
        <v>460</v>
      </c>
      <c r="F171" s="41">
        <v>1157.31</v>
      </c>
      <c r="G171" s="16">
        <v>26</v>
      </c>
      <c r="H171" s="12">
        <v>10</v>
      </c>
      <c r="I171" s="18">
        <v>0.749</v>
      </c>
      <c r="J171" s="19">
        <v>95.16</v>
      </c>
      <c r="K171" s="20">
        <f>(F171*10000000)/E171</f>
        <v>25158913.043478262</v>
      </c>
      <c r="L171" s="16">
        <v>36250.699999999997</v>
      </c>
      <c r="M171" s="16">
        <v>2037.2</v>
      </c>
      <c r="N171" s="16">
        <v>24104</v>
      </c>
      <c r="O171" s="21">
        <v>2.9</v>
      </c>
      <c r="P171" s="12">
        <v>3.33</v>
      </c>
      <c r="Q171" s="15">
        <v>6.7953834189791102</v>
      </c>
      <c r="R171" s="16">
        <v>6</v>
      </c>
      <c r="S171" s="22">
        <v>7.73</v>
      </c>
      <c r="T171" s="23">
        <v>0.62355466709942076</v>
      </c>
      <c r="U171" s="24">
        <v>65.227599999999995</v>
      </c>
      <c r="V171" s="25">
        <v>11.1175</v>
      </c>
      <c r="W171" s="26">
        <v>29.489130434782602</v>
      </c>
      <c r="X171" s="52">
        <v>-12.36</v>
      </c>
    </row>
    <row r="172" spans="1:24" ht="15.5" x14ac:dyDescent="0.35">
      <c r="A172" s="39">
        <v>171</v>
      </c>
      <c r="B172" s="13" t="s">
        <v>235</v>
      </c>
      <c r="C172" s="19">
        <v>2017</v>
      </c>
      <c r="D172" s="14" t="s">
        <v>36</v>
      </c>
      <c r="E172" s="12">
        <v>938</v>
      </c>
      <c r="F172" s="41">
        <v>481.56</v>
      </c>
      <c r="G172" s="16">
        <v>8</v>
      </c>
      <c r="H172" s="12">
        <v>9</v>
      </c>
      <c r="I172" s="18">
        <v>0.69410000000000005</v>
      </c>
      <c r="J172" s="19">
        <v>47.39</v>
      </c>
      <c r="K172" s="20">
        <f>(F172*10000000)/E172</f>
        <v>5133901.9189765463</v>
      </c>
      <c r="L172" s="16">
        <v>8949.9</v>
      </c>
      <c r="M172" s="16">
        <v>217.6</v>
      </c>
      <c r="N172" s="16">
        <v>4283.5</v>
      </c>
      <c r="O172" s="21">
        <v>0.14000000000000001</v>
      </c>
      <c r="P172" s="12">
        <v>3.33</v>
      </c>
      <c r="Q172" s="15">
        <v>6.7953834189791102</v>
      </c>
      <c r="R172" s="16">
        <v>6</v>
      </c>
      <c r="S172" s="22">
        <v>7.73</v>
      </c>
      <c r="T172" s="23">
        <v>-0.26424679018447184</v>
      </c>
      <c r="U172" s="24">
        <v>65.337100000000007</v>
      </c>
      <c r="V172" s="25">
        <v>12.9275</v>
      </c>
      <c r="W172" s="26">
        <v>25.868869936034123</v>
      </c>
      <c r="X172" s="52">
        <v>-12.71</v>
      </c>
    </row>
    <row r="173" spans="1:24" ht="15.5" x14ac:dyDescent="0.35">
      <c r="A173" s="12">
        <v>172</v>
      </c>
      <c r="B173" s="13" t="s">
        <v>236</v>
      </c>
      <c r="C173" s="19">
        <v>2017</v>
      </c>
      <c r="D173" s="14" t="s">
        <v>32</v>
      </c>
      <c r="E173" s="12">
        <v>700</v>
      </c>
      <c r="F173" s="41">
        <v>8400</v>
      </c>
      <c r="G173" s="16">
        <v>17</v>
      </c>
      <c r="H173" s="12">
        <v>11</v>
      </c>
      <c r="I173" s="18">
        <v>0.70099999999999996</v>
      </c>
      <c r="J173" s="19">
        <v>3.55</v>
      </c>
      <c r="K173" s="20">
        <f>(F173*10000000)/E173</f>
        <v>120000000</v>
      </c>
      <c r="L173" s="42">
        <v>35115</v>
      </c>
      <c r="M173" s="42">
        <v>3431.6</v>
      </c>
      <c r="N173" s="50">
        <v>122114.5</v>
      </c>
      <c r="O173" s="21">
        <v>0</v>
      </c>
      <c r="P173" s="12">
        <v>3.33</v>
      </c>
      <c r="Q173" s="15">
        <v>6.7953834189791102</v>
      </c>
      <c r="R173" s="16">
        <v>6</v>
      </c>
      <c r="S173" s="22">
        <v>7.73</v>
      </c>
      <c r="T173" s="23">
        <v>0.72431195472283716</v>
      </c>
      <c r="U173" s="24">
        <v>64.959599999999995</v>
      </c>
      <c r="V173" s="25">
        <v>12.81</v>
      </c>
      <c r="W173" s="26">
        <v>1.0785714285714221</v>
      </c>
      <c r="X173" s="52">
        <v>-26.32</v>
      </c>
    </row>
    <row r="174" spans="1:24" ht="15.5" x14ac:dyDescent="0.35">
      <c r="A174" s="12">
        <v>173</v>
      </c>
      <c r="B174" s="13" t="s">
        <v>237</v>
      </c>
      <c r="C174" s="19">
        <v>2017</v>
      </c>
      <c r="D174" s="14" t="s">
        <v>32</v>
      </c>
      <c r="E174" s="12">
        <v>661</v>
      </c>
      <c r="F174" s="41">
        <v>5700.94</v>
      </c>
      <c r="G174" s="16">
        <v>17</v>
      </c>
      <c r="H174" s="12">
        <v>8</v>
      </c>
      <c r="I174" s="18">
        <v>0.62919999999999998</v>
      </c>
      <c r="J174" s="19">
        <v>2.98</v>
      </c>
      <c r="K174" s="20">
        <f>(F174*10000000)/E174</f>
        <v>86247201.210287437</v>
      </c>
      <c r="L174" s="42">
        <v>107419.2</v>
      </c>
      <c r="M174" s="42">
        <v>6064.4</v>
      </c>
      <c r="N174" s="50">
        <v>169055.6</v>
      </c>
      <c r="O174" s="21">
        <v>0.13</v>
      </c>
      <c r="P174" s="12">
        <v>3.33</v>
      </c>
      <c r="Q174" s="15">
        <v>6.7953834189791102</v>
      </c>
      <c r="R174" s="16">
        <v>6</v>
      </c>
      <c r="S174" s="22">
        <v>7.73</v>
      </c>
      <c r="T174" s="23">
        <v>-1.3751709466646407</v>
      </c>
      <c r="U174" s="24">
        <v>64.176900000000003</v>
      </c>
      <c r="V174" s="25">
        <v>11.465</v>
      </c>
      <c r="W174" s="26">
        <v>3.0559757942511414</v>
      </c>
      <c r="X174" s="52">
        <v>25.81</v>
      </c>
    </row>
    <row r="175" spans="1:24" ht="15.5" x14ac:dyDescent="0.35">
      <c r="A175" s="39">
        <v>174</v>
      </c>
      <c r="B175" s="13" t="s">
        <v>238</v>
      </c>
      <c r="C175" s="19">
        <v>2017</v>
      </c>
      <c r="D175" s="14" t="s">
        <v>27</v>
      </c>
      <c r="E175" s="12">
        <v>250</v>
      </c>
      <c r="F175" s="41">
        <v>400</v>
      </c>
      <c r="G175" s="16">
        <v>5</v>
      </c>
      <c r="H175" s="12">
        <v>10</v>
      </c>
      <c r="I175" s="18">
        <v>0.43809999999999999</v>
      </c>
      <c r="J175" s="19">
        <v>183.03</v>
      </c>
      <c r="K175" s="20">
        <f>(F175*10000000)/E175</f>
        <v>16000000</v>
      </c>
      <c r="L175" s="16">
        <v>11298.3</v>
      </c>
      <c r="M175" s="16">
        <v>691</v>
      </c>
      <c r="N175" s="16">
        <v>11209.7</v>
      </c>
      <c r="O175" s="21">
        <v>0.39</v>
      </c>
      <c r="P175" s="12">
        <v>3.33</v>
      </c>
      <c r="Q175" s="15">
        <v>6.7953834189791102</v>
      </c>
      <c r="R175" s="16">
        <v>6</v>
      </c>
      <c r="S175" s="22">
        <v>7.73</v>
      </c>
      <c r="T175" s="23">
        <v>-0.92128367990043403</v>
      </c>
      <c r="U175" s="24">
        <v>64.077399999999997</v>
      </c>
      <c r="V175" s="25">
        <v>11.6775</v>
      </c>
      <c r="W175" s="26">
        <v>37.020000000000003</v>
      </c>
      <c r="X175" s="52">
        <v>-32.729999999999997</v>
      </c>
    </row>
    <row r="176" spans="1:24" ht="15.5" x14ac:dyDescent="0.35">
      <c r="A176" s="12">
        <v>175</v>
      </c>
      <c r="B176" s="13" t="s">
        <v>239</v>
      </c>
      <c r="C176" s="19">
        <v>2017</v>
      </c>
      <c r="D176" s="14" t="s">
        <v>137</v>
      </c>
      <c r="E176" s="12">
        <v>985</v>
      </c>
      <c r="F176" s="41" t="s">
        <v>240</v>
      </c>
      <c r="G176" s="16">
        <v>16</v>
      </c>
      <c r="H176" s="12">
        <v>8</v>
      </c>
      <c r="I176" s="18">
        <v>0.50609999999999999</v>
      </c>
      <c r="J176" s="19">
        <v>4.4400000000000004</v>
      </c>
      <c r="K176" s="20">
        <f>(496.88*10000000)/985</f>
        <v>5044467.005076142</v>
      </c>
      <c r="L176" s="16">
        <v>3056.1</v>
      </c>
      <c r="M176" s="16">
        <v>228.7</v>
      </c>
      <c r="N176" s="16">
        <v>1229.4000000000001</v>
      </c>
      <c r="O176" s="21">
        <v>0.01</v>
      </c>
      <c r="P176" s="12">
        <v>3.33</v>
      </c>
      <c r="Q176" s="15">
        <v>6.7953834189791102</v>
      </c>
      <c r="R176" s="16">
        <v>6</v>
      </c>
      <c r="S176" s="22">
        <v>7.73</v>
      </c>
      <c r="T176" s="23">
        <v>-0.18981682550795936</v>
      </c>
      <c r="U176" s="24">
        <v>63.9818</v>
      </c>
      <c r="V176" s="25">
        <v>11.755000000000001</v>
      </c>
      <c r="W176" s="26">
        <v>-8.1573604060913727</v>
      </c>
      <c r="X176" s="52">
        <v>-37.479999999999997</v>
      </c>
    </row>
    <row r="177" spans="1:24" ht="15.5" x14ac:dyDescent="0.35">
      <c r="A177" s="12">
        <v>176</v>
      </c>
      <c r="B177" s="13" t="s">
        <v>241</v>
      </c>
      <c r="C177" s="19">
        <v>2017</v>
      </c>
      <c r="D177" s="14" t="s">
        <v>29</v>
      </c>
      <c r="E177" s="12">
        <v>1766</v>
      </c>
      <c r="F177" s="41" t="s">
        <v>242</v>
      </c>
      <c r="G177" s="16">
        <v>24</v>
      </c>
      <c r="H177" s="12">
        <v>10</v>
      </c>
      <c r="I177" s="18">
        <v>0.36709999999999998</v>
      </c>
      <c r="J177" s="19">
        <v>117.83</v>
      </c>
      <c r="K177" s="20">
        <f>(600*10000000)/1766</f>
        <v>3397508.4937712345</v>
      </c>
      <c r="L177" s="16">
        <v>16683.599999999999</v>
      </c>
      <c r="M177" s="16">
        <v>437.3</v>
      </c>
      <c r="N177" s="16">
        <v>5143</v>
      </c>
      <c r="O177" s="21">
        <v>0.08</v>
      </c>
      <c r="P177" s="12">
        <v>3.33</v>
      </c>
      <c r="Q177" s="15">
        <v>6.7953834189791102</v>
      </c>
      <c r="R177" s="16">
        <v>6</v>
      </c>
      <c r="S177" s="22">
        <v>7.73</v>
      </c>
      <c r="T177" s="23">
        <v>0.67126349971246702</v>
      </c>
      <c r="U177" s="24">
        <v>63.866399999999999</v>
      </c>
      <c r="V177" s="25">
        <v>12.9625</v>
      </c>
      <c r="W177" s="26">
        <v>63.734428086070224</v>
      </c>
      <c r="X177" s="52">
        <v>-6.82</v>
      </c>
    </row>
    <row r="178" spans="1:24" ht="15.5" x14ac:dyDescent="0.35">
      <c r="A178" s="39">
        <v>177</v>
      </c>
      <c r="B178" s="13" t="s">
        <v>243</v>
      </c>
      <c r="C178" s="19">
        <v>2017</v>
      </c>
      <c r="D178" s="14" t="s">
        <v>27</v>
      </c>
      <c r="E178" s="12">
        <v>205</v>
      </c>
      <c r="F178" s="41">
        <v>600.65</v>
      </c>
      <c r="G178" s="16">
        <v>11</v>
      </c>
      <c r="H178" s="12">
        <v>10</v>
      </c>
      <c r="I178" s="18">
        <v>0.65410000000000001</v>
      </c>
      <c r="J178" s="19">
        <v>1.81</v>
      </c>
      <c r="K178" s="20">
        <f>(F178*10000000)/E178</f>
        <v>29300000</v>
      </c>
      <c r="L178" s="16">
        <v>142.80000000000001</v>
      </c>
      <c r="M178" s="16">
        <v>22</v>
      </c>
      <c r="N178" s="16">
        <v>7264.1</v>
      </c>
      <c r="O178" s="21">
        <v>1.27</v>
      </c>
      <c r="P178" s="12">
        <v>3.33</v>
      </c>
      <c r="Q178" s="15">
        <v>6.7953834189791102</v>
      </c>
      <c r="R178" s="16">
        <v>6</v>
      </c>
      <c r="S178" s="22">
        <v>7.73</v>
      </c>
      <c r="T178" s="23">
        <v>0.67126349971246702</v>
      </c>
      <c r="U178" s="24">
        <v>63.866399999999999</v>
      </c>
      <c r="V178" s="25">
        <v>12.9625</v>
      </c>
      <c r="W178" s="26">
        <v>1.6829268292682873</v>
      </c>
      <c r="X178" s="52">
        <v>-25.11</v>
      </c>
    </row>
    <row r="179" spans="1:24" ht="15.5" x14ac:dyDescent="0.35">
      <c r="A179" s="12">
        <v>178</v>
      </c>
      <c r="B179" s="13" t="s">
        <v>244</v>
      </c>
      <c r="C179" s="19">
        <v>2017</v>
      </c>
      <c r="D179" s="14" t="s">
        <v>36</v>
      </c>
      <c r="E179" s="12">
        <v>175</v>
      </c>
      <c r="F179" s="41" t="s">
        <v>245</v>
      </c>
      <c r="G179" s="16">
        <v>22</v>
      </c>
      <c r="H179" s="12">
        <v>11</v>
      </c>
      <c r="I179" s="18">
        <v>0.99990000000000001</v>
      </c>
      <c r="J179" s="19">
        <v>6.14</v>
      </c>
      <c r="K179" s="20">
        <f>(152.25*10000000)/175</f>
        <v>8700000</v>
      </c>
      <c r="L179" s="16">
        <v>6986.9</v>
      </c>
      <c r="M179" s="16">
        <v>251.3</v>
      </c>
      <c r="N179" s="16">
        <v>2767</v>
      </c>
      <c r="O179" s="21">
        <v>0.26</v>
      </c>
      <c r="P179" s="12">
        <v>3.33</v>
      </c>
      <c r="Q179" s="15">
        <v>6.7953834189791102</v>
      </c>
      <c r="R179" s="16">
        <v>6</v>
      </c>
      <c r="S179" s="22">
        <v>7.73</v>
      </c>
      <c r="T179" s="23">
        <v>-0.61708364412895866</v>
      </c>
      <c r="U179" s="24">
        <v>64.067599999999999</v>
      </c>
      <c r="V179" s="25">
        <v>12.5725</v>
      </c>
      <c r="W179" s="26">
        <v>21.199999999999996</v>
      </c>
      <c r="X179" s="52">
        <v>92.17</v>
      </c>
    </row>
    <row r="180" spans="1:24" ht="15.5" x14ac:dyDescent="0.35">
      <c r="A180" s="12">
        <v>179</v>
      </c>
      <c r="B180" s="13" t="s">
        <v>246</v>
      </c>
      <c r="C180" s="19">
        <v>2017</v>
      </c>
      <c r="D180" s="14" t="s">
        <v>27</v>
      </c>
      <c r="E180" s="12">
        <v>432</v>
      </c>
      <c r="F180" s="41">
        <v>1442.01</v>
      </c>
      <c r="G180" s="16">
        <v>48</v>
      </c>
      <c r="H180" s="12">
        <v>8</v>
      </c>
      <c r="I180" s="30">
        <v>1</v>
      </c>
      <c r="J180" s="19">
        <v>76.19</v>
      </c>
      <c r="K180" s="20">
        <f>(F180*10000000)/E180</f>
        <v>33379861.111111112</v>
      </c>
      <c r="L180" s="16">
        <v>20680.7</v>
      </c>
      <c r="M180" s="16">
        <v>3215.5</v>
      </c>
      <c r="N180" s="16">
        <v>34219.4</v>
      </c>
      <c r="O180" s="21">
        <v>0.06</v>
      </c>
      <c r="P180" s="12">
        <v>3.33</v>
      </c>
      <c r="Q180" s="15">
        <v>6.7953834189791102</v>
      </c>
      <c r="R180" s="16">
        <v>6</v>
      </c>
      <c r="S180" s="22">
        <v>7.73</v>
      </c>
      <c r="T180" s="23">
        <v>-1.1145357297421088</v>
      </c>
      <c r="U180" s="24">
        <v>63.631399999999999</v>
      </c>
      <c r="V180" s="25">
        <v>11.6425</v>
      </c>
      <c r="W180" s="26">
        <v>22.256944444444439</v>
      </c>
      <c r="X180" s="52">
        <v>-14.09</v>
      </c>
    </row>
    <row r="181" spans="1:24" ht="15.5" x14ac:dyDescent="0.35">
      <c r="A181" s="39">
        <v>180</v>
      </c>
      <c r="B181" s="13" t="s">
        <v>247</v>
      </c>
      <c r="C181" s="19">
        <v>2017</v>
      </c>
      <c r="D181" s="14" t="s">
        <v>27</v>
      </c>
      <c r="E181" s="12">
        <v>815</v>
      </c>
      <c r="F181" s="41">
        <v>779.58</v>
      </c>
      <c r="G181" s="16">
        <v>32</v>
      </c>
      <c r="H181" s="12">
        <v>8</v>
      </c>
      <c r="I181" s="18">
        <v>0.86639999999999995</v>
      </c>
      <c r="J181" s="19">
        <v>7.07</v>
      </c>
      <c r="K181" s="20">
        <f>(F181*10000000)/E181</f>
        <v>9565398.7730061356</v>
      </c>
      <c r="L181" s="16">
        <v>16018.2</v>
      </c>
      <c r="M181" s="16">
        <v>539.79999999999995</v>
      </c>
      <c r="N181" s="16">
        <v>9004.7999999999993</v>
      </c>
      <c r="O181" s="21">
        <v>0.87</v>
      </c>
      <c r="P181" s="12">
        <v>3.33</v>
      </c>
      <c r="Q181" s="15">
        <v>6.7953834189791102</v>
      </c>
      <c r="R181" s="16">
        <v>6</v>
      </c>
      <c r="S181" s="22">
        <v>7.73</v>
      </c>
      <c r="T181" s="23">
        <v>-0.88614813207441701</v>
      </c>
      <c r="U181" s="24">
        <v>64.069000000000003</v>
      </c>
      <c r="V181" s="25">
        <v>11.942500000000001</v>
      </c>
      <c r="W181" s="26">
        <v>-7.1104294478527663</v>
      </c>
      <c r="X181" s="52">
        <v>43.21</v>
      </c>
    </row>
    <row r="182" spans="1:24" ht="15.5" x14ac:dyDescent="0.35">
      <c r="A182" s="12">
        <v>181</v>
      </c>
      <c r="B182" s="13" t="s">
        <v>248</v>
      </c>
      <c r="C182" s="19">
        <v>2017</v>
      </c>
      <c r="D182" s="14" t="s">
        <v>27</v>
      </c>
      <c r="E182" s="12">
        <v>108</v>
      </c>
      <c r="F182" s="41" t="s">
        <v>249</v>
      </c>
      <c r="G182" s="16">
        <v>16</v>
      </c>
      <c r="H182" s="12">
        <v>8</v>
      </c>
      <c r="I182" s="18">
        <v>0.72609999999999997</v>
      </c>
      <c r="J182" s="19">
        <v>273.05</v>
      </c>
      <c r="K182" s="20">
        <f>(35.87*10000000)/108</f>
        <v>3321296.2962962962</v>
      </c>
      <c r="L182" s="16">
        <v>4037.8</v>
      </c>
      <c r="M182" s="16">
        <v>167.1</v>
      </c>
      <c r="N182" s="16">
        <v>2318.1</v>
      </c>
      <c r="O182" s="21">
        <v>0.6</v>
      </c>
      <c r="P182" s="12">
        <v>3.33</v>
      </c>
      <c r="Q182" s="15">
        <v>6.7953834189791102</v>
      </c>
      <c r="R182" s="16">
        <v>6.25</v>
      </c>
      <c r="S182" s="22">
        <v>7.73</v>
      </c>
      <c r="T182" s="23">
        <v>-1.856432613580707E-2</v>
      </c>
      <c r="U182" s="24">
        <v>64.366600000000005</v>
      </c>
      <c r="V182" s="25">
        <v>11.4575</v>
      </c>
      <c r="W182" s="26">
        <v>143.05555555555557</v>
      </c>
      <c r="X182" s="57">
        <v>10.06</v>
      </c>
    </row>
    <row r="183" spans="1:24" ht="15.5" x14ac:dyDescent="0.35">
      <c r="A183" s="12">
        <v>182</v>
      </c>
      <c r="B183" s="13" t="s">
        <v>250</v>
      </c>
      <c r="C183" s="19">
        <v>2017</v>
      </c>
      <c r="D183" s="14" t="s">
        <v>32</v>
      </c>
      <c r="E183" s="12">
        <v>358</v>
      </c>
      <c r="F183" s="41">
        <v>1912.51</v>
      </c>
      <c r="G183" s="16">
        <v>21</v>
      </c>
      <c r="H183" s="12">
        <v>10</v>
      </c>
      <c r="I183" s="18">
        <v>0.3231</v>
      </c>
      <c r="J183" s="19">
        <v>53.6</v>
      </c>
      <c r="K183" s="20">
        <f>(F183*10000000)/E183</f>
        <v>53422067.039106146</v>
      </c>
      <c r="L183" s="12">
        <v>14169.93</v>
      </c>
      <c r="M183" s="16">
        <v>8219.7999999999993</v>
      </c>
      <c r="N183" s="16">
        <v>97812.3</v>
      </c>
      <c r="O183" s="21">
        <v>3.04</v>
      </c>
      <c r="P183" s="12">
        <v>3.33</v>
      </c>
      <c r="Q183" s="15">
        <v>6.7953834189791102</v>
      </c>
      <c r="R183" s="16">
        <v>6.25</v>
      </c>
      <c r="S183" s="22">
        <v>7.73</v>
      </c>
      <c r="T183" s="23">
        <v>1.0888887107120084</v>
      </c>
      <c r="U183" s="24">
        <v>64.737899999999996</v>
      </c>
      <c r="V183" s="25">
        <v>11.7325</v>
      </c>
      <c r="W183" s="26">
        <v>51.298882681564237</v>
      </c>
      <c r="X183" s="52">
        <v>17.72</v>
      </c>
    </row>
    <row r="184" spans="1:24" ht="15.5" x14ac:dyDescent="0.35">
      <c r="A184" s="39">
        <v>183</v>
      </c>
      <c r="B184" s="13" t="s">
        <v>251</v>
      </c>
      <c r="C184" s="19">
        <v>2017</v>
      </c>
      <c r="D184" s="14" t="s">
        <v>137</v>
      </c>
      <c r="E184" s="12">
        <v>170</v>
      </c>
      <c r="F184" s="41" t="s">
        <v>252</v>
      </c>
      <c r="G184" s="16">
        <v>11</v>
      </c>
      <c r="H184" s="12">
        <v>11</v>
      </c>
      <c r="I184" s="18">
        <v>0.73260000000000003</v>
      </c>
      <c r="J184" s="19">
        <v>1.53</v>
      </c>
      <c r="K184" s="20">
        <f>(484.8*10000000)/170</f>
        <v>28517647.05882353</v>
      </c>
      <c r="L184" s="16">
        <v>6050.8</v>
      </c>
      <c r="M184" s="16">
        <v>400.9</v>
      </c>
      <c r="N184" s="16">
        <v>14035.9</v>
      </c>
      <c r="O184" s="21">
        <v>0.75</v>
      </c>
      <c r="P184" s="12">
        <v>3.33</v>
      </c>
      <c r="Q184" s="15">
        <v>6.7953834189791102</v>
      </c>
      <c r="R184" s="16">
        <v>6.25</v>
      </c>
      <c r="S184" s="22">
        <v>7.73</v>
      </c>
      <c r="T184" s="23">
        <v>-1.7682735309406547E-2</v>
      </c>
      <c r="U184" s="24">
        <v>64.536500000000004</v>
      </c>
      <c r="V184" s="25">
        <v>11.557499999999999</v>
      </c>
      <c r="W184" s="26">
        <v>0.97058823529412097</v>
      </c>
      <c r="X184" s="57">
        <v>-38.799999999999997</v>
      </c>
    </row>
    <row r="185" spans="1:24" ht="15.5" x14ac:dyDescent="0.35">
      <c r="A185" s="12">
        <v>184</v>
      </c>
      <c r="B185" s="13" t="s">
        <v>253</v>
      </c>
      <c r="C185" s="19">
        <v>2017</v>
      </c>
      <c r="D185" s="14" t="s">
        <v>32</v>
      </c>
      <c r="E185" s="12">
        <v>149</v>
      </c>
      <c r="F185" s="41">
        <v>523.99</v>
      </c>
      <c r="G185" s="16">
        <v>18</v>
      </c>
      <c r="H185" s="12">
        <v>9</v>
      </c>
      <c r="I185" s="30">
        <v>1</v>
      </c>
      <c r="J185" s="19">
        <v>170.16</v>
      </c>
      <c r="K185" s="20">
        <f>(F185*10000000)/E185</f>
        <v>35167114.093959734</v>
      </c>
      <c r="L185" s="16">
        <v>1216.19</v>
      </c>
      <c r="M185" s="16">
        <v>678.5</v>
      </c>
      <c r="N185" s="16">
        <v>6845.3</v>
      </c>
      <c r="O185" s="21">
        <v>0.82</v>
      </c>
      <c r="P185" s="12">
        <v>3.33</v>
      </c>
      <c r="Q185" s="15">
        <v>6.7953834189791102</v>
      </c>
      <c r="R185" s="16">
        <v>6.25</v>
      </c>
      <c r="S185" s="22">
        <v>7.73</v>
      </c>
      <c r="T185" s="23">
        <v>0.17676993087192741</v>
      </c>
      <c r="U185" s="24">
        <v>64.602500000000006</v>
      </c>
      <c r="V185" s="25">
        <v>10.914999999999999</v>
      </c>
      <c r="W185" s="26">
        <v>75.57046979865774</v>
      </c>
      <c r="X185" s="51">
        <v>7.13</v>
      </c>
    </row>
    <row r="186" spans="1:24" ht="15.5" x14ac:dyDescent="0.35">
      <c r="A186" s="12">
        <v>185</v>
      </c>
      <c r="B186" s="13" t="s">
        <v>254</v>
      </c>
      <c r="C186" s="19">
        <v>2017</v>
      </c>
      <c r="D186" s="14" t="s">
        <v>48</v>
      </c>
      <c r="E186" s="12">
        <v>603</v>
      </c>
      <c r="F186" s="41" t="s">
        <v>255</v>
      </c>
      <c r="G186" s="16">
        <v>10</v>
      </c>
      <c r="H186" s="12">
        <v>9</v>
      </c>
      <c r="I186" s="18">
        <v>0.872</v>
      </c>
      <c r="J186" s="19">
        <v>3.29</v>
      </c>
      <c r="K186" s="20">
        <f>(1741.16*10000000)/603</f>
        <v>28874958.540630184</v>
      </c>
      <c r="L186" s="16">
        <v>6891.2</v>
      </c>
      <c r="M186" s="16">
        <v>2481.4</v>
      </c>
      <c r="N186" s="16">
        <v>6644.3</v>
      </c>
      <c r="O186" s="21">
        <v>5.9999999999999995E-4</v>
      </c>
      <c r="P186" s="12">
        <v>3.33</v>
      </c>
      <c r="Q186" s="15">
        <v>6.7953834189791102</v>
      </c>
      <c r="R186" s="16">
        <v>6.25</v>
      </c>
      <c r="S186" s="22">
        <v>7.73</v>
      </c>
      <c r="T186" s="23">
        <v>0.13538373765310979</v>
      </c>
      <c r="U186" s="24">
        <v>64.467200000000005</v>
      </c>
      <c r="V186" s="25">
        <v>10.657500000000001</v>
      </c>
      <c r="W186" s="26">
        <v>-0.24875621890547264</v>
      </c>
      <c r="X186" s="51">
        <v>13.87</v>
      </c>
    </row>
    <row r="187" spans="1:24" ht="15.5" x14ac:dyDescent="0.35">
      <c r="A187" s="39">
        <v>186</v>
      </c>
      <c r="B187" s="13" t="s">
        <v>256</v>
      </c>
      <c r="C187" s="19">
        <v>2017</v>
      </c>
      <c r="D187" s="14" t="s">
        <v>29</v>
      </c>
      <c r="E187" s="12">
        <v>257</v>
      </c>
      <c r="F187" s="41">
        <v>776.69</v>
      </c>
      <c r="G187" s="16">
        <v>17</v>
      </c>
      <c r="H187" s="12">
        <v>11</v>
      </c>
      <c r="I187" s="18">
        <v>0.43819999999999998</v>
      </c>
      <c r="J187" s="19">
        <v>1.88</v>
      </c>
      <c r="K187" s="20">
        <f>(F187*10000000)/E187</f>
        <v>30221400.778210122</v>
      </c>
      <c r="L187" s="16">
        <v>9207.2000000000007</v>
      </c>
      <c r="M187" s="16">
        <v>829.7</v>
      </c>
      <c r="N187" s="16">
        <v>10294.200000000001</v>
      </c>
      <c r="O187" s="21">
        <v>0.55000000000000004</v>
      </c>
      <c r="P187" s="12">
        <v>3.33</v>
      </c>
      <c r="Q187" s="15">
        <v>6.7953834189791102</v>
      </c>
      <c r="R187" s="16">
        <v>6.25</v>
      </c>
      <c r="S187" s="22">
        <v>7.73</v>
      </c>
      <c r="T187" s="23">
        <v>-0.66370695408332681</v>
      </c>
      <c r="U187" s="24">
        <v>64.588300000000004</v>
      </c>
      <c r="V187" s="25">
        <v>10.914999999999999</v>
      </c>
      <c r="W187" s="26">
        <v>2.5291828793774318</v>
      </c>
      <c r="X187" s="51">
        <v>9.9600000000000009</v>
      </c>
    </row>
    <row r="188" spans="1:24" ht="15.5" x14ac:dyDescent="0.35">
      <c r="A188" s="12">
        <v>187</v>
      </c>
      <c r="B188" s="13" t="s">
        <v>257</v>
      </c>
      <c r="C188" s="19">
        <v>2017</v>
      </c>
      <c r="D188" s="14" t="s">
        <v>27</v>
      </c>
      <c r="E188" s="12">
        <v>210</v>
      </c>
      <c r="F188" s="41" t="s">
        <v>258</v>
      </c>
      <c r="G188" s="16">
        <v>9</v>
      </c>
      <c r="H188" s="12">
        <v>10</v>
      </c>
      <c r="I188" s="18">
        <v>0.71750000000000003</v>
      </c>
      <c r="J188" s="19">
        <v>8.58</v>
      </c>
      <c r="K188" s="20">
        <f>(211.68*10000000)/210</f>
        <v>10080000</v>
      </c>
      <c r="L188" s="16">
        <v>4007.6</v>
      </c>
      <c r="M188" s="16">
        <v>416.1</v>
      </c>
      <c r="N188" s="16">
        <v>3147</v>
      </c>
      <c r="O188" s="39">
        <v>0.65</v>
      </c>
      <c r="P188" s="12">
        <v>3.33</v>
      </c>
      <c r="Q188" s="15">
        <v>6.7953834189791102</v>
      </c>
      <c r="R188" s="16">
        <v>6.25</v>
      </c>
      <c r="S188" s="22">
        <v>7.73</v>
      </c>
      <c r="T188" s="23">
        <v>0.10213953997351621</v>
      </c>
      <c r="U188" s="24">
        <v>64.990600000000001</v>
      </c>
      <c r="V188" s="25">
        <v>11.3025</v>
      </c>
      <c r="W188" s="26">
        <v>-5</v>
      </c>
      <c r="X188" s="29">
        <v>158.25</v>
      </c>
    </row>
    <row r="189" spans="1:24" ht="15.5" x14ac:dyDescent="0.35">
      <c r="A189" s="12">
        <v>188</v>
      </c>
      <c r="B189" s="13" t="s">
        <v>259</v>
      </c>
      <c r="C189" s="19">
        <v>2017</v>
      </c>
      <c r="D189" s="14" t="s">
        <v>32</v>
      </c>
      <c r="E189" s="12">
        <v>60</v>
      </c>
      <c r="F189" s="41">
        <v>1224.3499999999999</v>
      </c>
      <c r="G189" s="16">
        <v>47</v>
      </c>
      <c r="H189" s="12">
        <v>8</v>
      </c>
      <c r="I189" s="30">
        <v>1</v>
      </c>
      <c r="J189" s="19">
        <v>79.53</v>
      </c>
      <c r="K189" s="20">
        <f t="shared" ref="K189:K210" si="8">(F189*10000000)/E189</f>
        <v>204058333.33333334</v>
      </c>
      <c r="L189" s="16">
        <v>415.2</v>
      </c>
      <c r="M189" s="16">
        <v>8418.1</v>
      </c>
      <c r="N189" s="16">
        <v>424793.7</v>
      </c>
      <c r="O189" s="39">
        <v>3.04</v>
      </c>
      <c r="P189" s="12">
        <v>3.33</v>
      </c>
      <c r="Q189" s="15">
        <v>6.7953834189791102</v>
      </c>
      <c r="R189" s="16">
        <v>6.25</v>
      </c>
      <c r="S189" s="22">
        <v>7.73</v>
      </c>
      <c r="T189" s="23">
        <v>-1.6433715646209587E-2</v>
      </c>
      <c r="U189" s="24">
        <v>64.438000000000002</v>
      </c>
      <c r="V189" s="25">
        <v>10.8375</v>
      </c>
      <c r="W189" s="26">
        <v>20.916666666666661</v>
      </c>
      <c r="X189" s="29">
        <v>-70.28</v>
      </c>
    </row>
    <row r="190" spans="1:24" ht="15.5" x14ac:dyDescent="0.35">
      <c r="A190" s="39">
        <v>189</v>
      </c>
      <c r="B190" s="13" t="s">
        <v>260</v>
      </c>
      <c r="C190" s="19">
        <v>2017</v>
      </c>
      <c r="D190" s="14" t="s">
        <v>137</v>
      </c>
      <c r="E190" s="12">
        <v>670</v>
      </c>
      <c r="F190" s="41">
        <v>728.56</v>
      </c>
      <c r="G190" s="16">
        <v>47</v>
      </c>
      <c r="H190" s="12">
        <v>11</v>
      </c>
      <c r="I190" s="18">
        <v>0.47399999999999998</v>
      </c>
      <c r="J190" s="12">
        <v>59.49</v>
      </c>
      <c r="K190" s="20">
        <f t="shared" si="8"/>
        <v>10874029.850746267</v>
      </c>
      <c r="L190" s="16">
        <v>2926.1</v>
      </c>
      <c r="M190" s="16">
        <v>272.2</v>
      </c>
      <c r="N190" s="16">
        <v>8386</v>
      </c>
      <c r="O190" s="21">
        <v>0.46</v>
      </c>
      <c r="P190" s="12">
        <v>3.33</v>
      </c>
      <c r="Q190" s="15">
        <v>6.7953834189791102</v>
      </c>
      <c r="R190" s="16">
        <v>6.25</v>
      </c>
      <c r="S190" s="22">
        <v>7.73</v>
      </c>
      <c r="T190" s="23">
        <v>3.005791250853829E-2</v>
      </c>
      <c r="U190" s="24">
        <v>64.475700000000003</v>
      </c>
      <c r="V190" s="25">
        <v>10.86</v>
      </c>
      <c r="W190" s="26">
        <v>0.89552238805970152</v>
      </c>
      <c r="X190" s="29">
        <v>-43.71</v>
      </c>
    </row>
    <row r="191" spans="1:24" ht="15.5" x14ac:dyDescent="0.35">
      <c r="A191" s="12">
        <v>190</v>
      </c>
      <c r="B191" s="13" t="s">
        <v>261</v>
      </c>
      <c r="C191" s="19">
        <v>2017</v>
      </c>
      <c r="D191" s="14" t="s">
        <v>34</v>
      </c>
      <c r="E191" s="12">
        <v>460</v>
      </c>
      <c r="F191" s="41">
        <v>345</v>
      </c>
      <c r="G191" s="16">
        <v>22</v>
      </c>
      <c r="H191" s="12">
        <v>12</v>
      </c>
      <c r="I191" s="18">
        <v>0.62629999999999997</v>
      </c>
      <c r="J191" s="19">
        <v>41.88</v>
      </c>
      <c r="K191" s="20">
        <f t="shared" si="8"/>
        <v>7500000</v>
      </c>
      <c r="L191" s="16">
        <v>17746.3</v>
      </c>
      <c r="M191" s="16">
        <v>108.1</v>
      </c>
      <c r="N191" s="16">
        <v>5920.1</v>
      </c>
      <c r="O191" s="21">
        <v>0.05</v>
      </c>
      <c r="P191" s="12">
        <v>3.33</v>
      </c>
      <c r="Q191" s="15">
        <v>6.7953834189791102</v>
      </c>
      <c r="R191" s="16">
        <v>6.25</v>
      </c>
      <c r="S191" s="22">
        <v>7.73</v>
      </c>
      <c r="T191" s="23">
        <v>0.29552754158163264</v>
      </c>
      <c r="U191" s="24">
        <v>65.458100000000002</v>
      </c>
      <c r="V191" s="25">
        <v>11.977499999999999</v>
      </c>
      <c r="W191" s="26">
        <v>37.489130434782616</v>
      </c>
      <c r="X191" s="57">
        <v>183.44</v>
      </c>
    </row>
    <row r="192" spans="1:24" ht="15.5" x14ac:dyDescent="0.35">
      <c r="A192" s="12">
        <v>191</v>
      </c>
      <c r="B192" s="13" t="s">
        <v>262</v>
      </c>
      <c r="C192" s="19">
        <v>2017</v>
      </c>
      <c r="D192" s="14" t="s">
        <v>137</v>
      </c>
      <c r="E192" s="12">
        <v>502</v>
      </c>
      <c r="F192" s="41">
        <v>238.95</v>
      </c>
      <c r="G192" s="16">
        <v>21</v>
      </c>
      <c r="H192" s="12">
        <v>9</v>
      </c>
      <c r="I192" s="18">
        <v>0.94320000000000004</v>
      </c>
      <c r="J192" s="19">
        <v>1.9</v>
      </c>
      <c r="K192" s="20">
        <f t="shared" si="8"/>
        <v>4759960.1593625499</v>
      </c>
      <c r="L192" s="16">
        <v>1617.5</v>
      </c>
      <c r="M192" s="16">
        <v>44.2</v>
      </c>
      <c r="N192" s="16">
        <v>3954.3</v>
      </c>
      <c r="O192" s="21">
        <v>0.12</v>
      </c>
      <c r="P192" s="12">
        <v>3.33</v>
      </c>
      <c r="Q192" s="15">
        <v>6.7953834189791102</v>
      </c>
      <c r="R192" s="16">
        <v>6.25</v>
      </c>
      <c r="S192" s="22">
        <v>7.73</v>
      </c>
      <c r="T192" s="23">
        <v>0</v>
      </c>
      <c r="U192" s="24">
        <v>65.488100000000003</v>
      </c>
      <c r="V192" s="25">
        <v>12.27</v>
      </c>
      <c r="W192" s="26">
        <v>-15.916334661354577</v>
      </c>
      <c r="X192" s="57">
        <v>-55.11</v>
      </c>
    </row>
    <row r="193" spans="1:24" ht="15.5" x14ac:dyDescent="0.35">
      <c r="A193" s="39">
        <v>192</v>
      </c>
      <c r="B193" s="13" t="s">
        <v>263</v>
      </c>
      <c r="C193" s="19">
        <v>2017</v>
      </c>
      <c r="D193" s="14" t="s">
        <v>137</v>
      </c>
      <c r="E193" s="12">
        <v>333</v>
      </c>
      <c r="F193" s="41">
        <v>488.53</v>
      </c>
      <c r="G193" s="16">
        <v>18</v>
      </c>
      <c r="H193" s="12">
        <v>9</v>
      </c>
      <c r="I193" s="18">
        <v>0.71230000000000004</v>
      </c>
      <c r="J193" s="19">
        <v>39.67</v>
      </c>
      <c r="K193" s="20">
        <f t="shared" si="8"/>
        <v>14670570.570570571</v>
      </c>
      <c r="L193" s="16">
        <v>2254.8000000000002</v>
      </c>
      <c r="M193" s="16">
        <v>276.2</v>
      </c>
      <c r="N193" s="16">
        <v>5215.3</v>
      </c>
      <c r="O193" s="21">
        <v>1.79</v>
      </c>
      <c r="P193" s="12">
        <v>3.33</v>
      </c>
      <c r="Q193" s="15">
        <v>6.7953834189791102</v>
      </c>
      <c r="R193" s="16">
        <v>6.25</v>
      </c>
      <c r="S193" s="22">
        <v>7.73</v>
      </c>
      <c r="T193" s="23">
        <v>6.9368725214938587E-2</v>
      </c>
      <c r="U193" s="24">
        <v>66.636200000000002</v>
      </c>
      <c r="V193" s="25">
        <v>14.074999999999999</v>
      </c>
      <c r="W193" s="26">
        <v>11.981981981981974</v>
      </c>
      <c r="X193" s="52">
        <v>-2.23</v>
      </c>
    </row>
    <row r="194" spans="1:24" ht="15.5" x14ac:dyDescent="0.35">
      <c r="A194" s="12">
        <v>193</v>
      </c>
      <c r="B194" s="13" t="s">
        <v>264</v>
      </c>
      <c r="C194" s="19">
        <v>2017</v>
      </c>
      <c r="D194" s="14" t="s">
        <v>34</v>
      </c>
      <c r="E194" s="12">
        <v>299</v>
      </c>
      <c r="F194" s="41">
        <v>1870</v>
      </c>
      <c r="G194" s="16">
        <v>15</v>
      </c>
      <c r="H194" s="12">
        <v>11</v>
      </c>
      <c r="I194" s="18">
        <v>0.91349999999999998</v>
      </c>
      <c r="J194" s="19">
        <v>104.48</v>
      </c>
      <c r="K194" s="20">
        <f t="shared" si="8"/>
        <v>62541806.020066887</v>
      </c>
      <c r="L194" s="16">
        <v>92594.8</v>
      </c>
      <c r="M194" s="16">
        <v>3179.1</v>
      </c>
      <c r="N194" s="16">
        <v>30829.3</v>
      </c>
      <c r="O194" s="21">
        <v>0.64</v>
      </c>
      <c r="P194" s="12">
        <v>3.33</v>
      </c>
      <c r="Q194" s="15">
        <v>6.7953834189791102</v>
      </c>
      <c r="R194" s="16">
        <v>6.25</v>
      </c>
      <c r="S194" s="22">
        <v>7.73</v>
      </c>
      <c r="T194" s="23">
        <v>-5.8618252737805084E-2</v>
      </c>
      <c r="U194" s="24">
        <v>66.688000000000002</v>
      </c>
      <c r="V194" s="25">
        <v>13.9575</v>
      </c>
      <c r="W194" s="26">
        <v>114.581939799331</v>
      </c>
      <c r="X194" s="57">
        <v>109.87</v>
      </c>
    </row>
    <row r="195" spans="1:24" ht="15.5" x14ac:dyDescent="0.35">
      <c r="A195" s="12">
        <v>194</v>
      </c>
      <c r="B195" s="13" t="s">
        <v>265</v>
      </c>
      <c r="C195" s="19">
        <v>2017</v>
      </c>
      <c r="D195" s="14" t="s">
        <v>32</v>
      </c>
      <c r="E195" s="12">
        <v>806</v>
      </c>
      <c r="F195" s="41">
        <v>1243.43</v>
      </c>
      <c r="G195" s="16">
        <v>142</v>
      </c>
      <c r="H195" s="12">
        <v>9</v>
      </c>
      <c r="I195" s="30">
        <v>1</v>
      </c>
      <c r="J195" s="19">
        <v>51.22</v>
      </c>
      <c r="K195" s="20">
        <f t="shared" si="8"/>
        <v>15427171.215880893</v>
      </c>
      <c r="L195" s="16">
        <v>292.8</v>
      </c>
      <c r="M195" s="16">
        <v>1328.6</v>
      </c>
      <c r="N195" s="16">
        <v>29297.7</v>
      </c>
      <c r="O195" s="21">
        <v>0.59</v>
      </c>
      <c r="P195" s="12">
        <v>3.33</v>
      </c>
      <c r="Q195" s="15">
        <v>6.7953834189791102</v>
      </c>
      <c r="R195" s="16">
        <v>6.25</v>
      </c>
      <c r="S195" s="22">
        <v>7.73</v>
      </c>
      <c r="T195" s="23">
        <v>7.6711738271739868E-2</v>
      </c>
      <c r="U195" s="24">
        <v>68.155600000000007</v>
      </c>
      <c r="V195" s="25">
        <v>15.17</v>
      </c>
      <c r="W195" s="26">
        <v>32.655086848635243</v>
      </c>
      <c r="X195" s="57">
        <v>-20.56</v>
      </c>
    </row>
    <row r="196" spans="1:24" ht="15.5" x14ac:dyDescent="0.35">
      <c r="A196" s="39">
        <v>195</v>
      </c>
      <c r="B196" s="13" t="s">
        <v>266</v>
      </c>
      <c r="C196" s="19">
        <v>2016</v>
      </c>
      <c r="D196" s="14" t="s">
        <v>48</v>
      </c>
      <c r="E196" s="12">
        <v>428</v>
      </c>
      <c r="F196" s="41">
        <v>1331.8</v>
      </c>
      <c r="G196" s="16">
        <v>11</v>
      </c>
      <c r="H196" s="12">
        <v>11</v>
      </c>
      <c r="I196" s="18">
        <v>0.32879999999999998</v>
      </c>
      <c r="J196" s="19">
        <v>4.53</v>
      </c>
      <c r="K196" s="20">
        <f t="shared" si="8"/>
        <v>31116822.429906543</v>
      </c>
      <c r="L196" s="16">
        <v>18160.8</v>
      </c>
      <c r="M196" s="16">
        <v>1446.5</v>
      </c>
      <c r="N196" s="16">
        <v>22918.9</v>
      </c>
      <c r="O196" s="21">
        <v>0.59</v>
      </c>
      <c r="P196" s="12">
        <v>4.95</v>
      </c>
      <c r="Q196" s="15">
        <v>8.2563055017908606</v>
      </c>
      <c r="R196" s="16">
        <v>6.25</v>
      </c>
      <c r="S196" s="22">
        <v>7.81</v>
      </c>
      <c r="T196" s="23">
        <v>-0.4318435039007324</v>
      </c>
      <c r="U196" s="24">
        <v>67.432500000000005</v>
      </c>
      <c r="V196" s="25">
        <v>15.525</v>
      </c>
      <c r="W196" s="26">
        <v>12.242990654205602</v>
      </c>
      <c r="X196" s="57">
        <v>11.04</v>
      </c>
    </row>
    <row r="197" spans="1:24" ht="15.5" x14ac:dyDescent="0.35">
      <c r="A197" s="12">
        <v>196</v>
      </c>
      <c r="B197" s="13" t="s">
        <v>267</v>
      </c>
      <c r="C197" s="19">
        <v>2016</v>
      </c>
      <c r="D197" s="14" t="s">
        <v>34</v>
      </c>
      <c r="E197" s="12">
        <v>730</v>
      </c>
      <c r="F197" s="41">
        <v>510</v>
      </c>
      <c r="G197" s="16">
        <v>45</v>
      </c>
      <c r="H197" s="12">
        <v>8</v>
      </c>
      <c r="I197" s="18">
        <v>0.87580000000000002</v>
      </c>
      <c r="J197" s="19">
        <v>5.09</v>
      </c>
      <c r="K197" s="20">
        <f t="shared" si="8"/>
        <v>6986301.3698630137</v>
      </c>
      <c r="L197" s="16">
        <v>14200.2</v>
      </c>
      <c r="M197" s="16">
        <v>901.5</v>
      </c>
      <c r="N197" s="16">
        <v>6491</v>
      </c>
      <c r="O197" s="21">
        <v>7.0000000000000007E-2</v>
      </c>
      <c r="P197" s="12">
        <v>4.95</v>
      </c>
      <c r="Q197" s="15">
        <v>8.2563055017908606</v>
      </c>
      <c r="R197" s="16">
        <v>6.25</v>
      </c>
      <c r="S197" s="22">
        <v>7.81</v>
      </c>
      <c r="T197" s="23">
        <v>0.18067504562347605</v>
      </c>
      <c r="U197" s="24">
        <v>68.373400000000004</v>
      </c>
      <c r="V197" s="25">
        <v>16.6875</v>
      </c>
      <c r="W197" s="26">
        <v>41.369863013698634</v>
      </c>
      <c r="X197" s="57">
        <v>69.930000000000007</v>
      </c>
    </row>
    <row r="198" spans="1:24" ht="15.5" x14ac:dyDescent="0.35">
      <c r="A198" s="12">
        <v>197</v>
      </c>
      <c r="B198" s="13" t="s">
        <v>268</v>
      </c>
      <c r="C198" s="19">
        <v>2016</v>
      </c>
      <c r="D198" s="14" t="s">
        <v>32</v>
      </c>
      <c r="E198" s="12">
        <v>775</v>
      </c>
      <c r="F198" s="41">
        <v>3000.75</v>
      </c>
      <c r="G198" s="16">
        <v>28</v>
      </c>
      <c r="H198" s="12">
        <v>11</v>
      </c>
      <c r="I198" s="30">
        <v>0.51</v>
      </c>
      <c r="J198" s="19">
        <v>29.53</v>
      </c>
      <c r="K198" s="20">
        <f t="shared" si="8"/>
        <v>38719354.838709675</v>
      </c>
      <c r="L198" s="16">
        <v>26995.43</v>
      </c>
      <c r="M198" s="16">
        <v>3264.7</v>
      </c>
      <c r="N198" s="16">
        <v>297376.5</v>
      </c>
      <c r="O198" s="21">
        <v>8.73</v>
      </c>
      <c r="P198" s="12">
        <v>4.95</v>
      </c>
      <c r="Q198" s="15">
        <v>8.2563055017908606</v>
      </c>
      <c r="R198" s="16">
        <v>6.25</v>
      </c>
      <c r="S198" s="22">
        <v>7.81</v>
      </c>
      <c r="T198" s="23">
        <v>0.75055349044020236</v>
      </c>
      <c r="U198" s="24">
        <v>66.885400000000004</v>
      </c>
      <c r="V198" s="25">
        <v>14.085000000000001</v>
      </c>
      <c r="W198" s="26">
        <v>14.987096774193546</v>
      </c>
      <c r="X198" s="57">
        <v>58.07</v>
      </c>
    </row>
    <row r="199" spans="1:24" ht="15.5" x14ac:dyDescent="0.35">
      <c r="A199" s="39">
        <v>198</v>
      </c>
      <c r="B199" s="13" t="s">
        <v>269</v>
      </c>
      <c r="C199" s="19">
        <v>2016</v>
      </c>
      <c r="D199" s="14" t="s">
        <v>36</v>
      </c>
      <c r="E199" s="12">
        <v>445</v>
      </c>
      <c r="F199" s="41">
        <v>1112.5</v>
      </c>
      <c r="G199" s="16">
        <v>21</v>
      </c>
      <c r="H199" s="12">
        <v>11</v>
      </c>
      <c r="I199" s="30">
        <v>0.86</v>
      </c>
      <c r="J199" s="19">
        <v>1.86</v>
      </c>
      <c r="K199" s="20">
        <f t="shared" si="8"/>
        <v>25000000</v>
      </c>
      <c r="L199" s="16">
        <v>33376.5</v>
      </c>
      <c r="M199" s="16">
        <v>1516.5</v>
      </c>
      <c r="N199" s="16">
        <v>42387.4</v>
      </c>
      <c r="O199" s="21">
        <v>1.07</v>
      </c>
      <c r="P199" s="12">
        <v>4.95</v>
      </c>
      <c r="Q199" s="15">
        <v>8.2563055017908606</v>
      </c>
      <c r="R199" s="16">
        <v>6.25</v>
      </c>
      <c r="S199" s="22">
        <v>7.81</v>
      </c>
      <c r="T199" s="23">
        <v>0.54724645612302258</v>
      </c>
      <c r="U199" s="24">
        <v>66.8566</v>
      </c>
      <c r="V199" s="25">
        <v>14.6525</v>
      </c>
      <c r="W199" s="26">
        <v>3.2584269662921348</v>
      </c>
      <c r="X199" s="57">
        <v>11.92</v>
      </c>
    </row>
    <row r="200" spans="1:24" ht="15.5" x14ac:dyDescent="0.35">
      <c r="A200" s="12">
        <v>199</v>
      </c>
      <c r="B200" s="13" t="s">
        <v>270</v>
      </c>
      <c r="C200" s="19">
        <v>2016</v>
      </c>
      <c r="D200" s="14" t="s">
        <v>27</v>
      </c>
      <c r="E200" s="12">
        <v>472</v>
      </c>
      <c r="F200" s="41">
        <v>1161.73</v>
      </c>
      <c r="G200" s="16">
        <v>16</v>
      </c>
      <c r="H200" s="12">
        <v>12</v>
      </c>
      <c r="I200" s="18">
        <v>0.82499999999999996</v>
      </c>
      <c r="J200" s="19">
        <v>43.84</v>
      </c>
      <c r="K200" s="20">
        <f t="shared" si="8"/>
        <v>24612923.728813559</v>
      </c>
      <c r="L200" s="16">
        <v>40468.699999999997</v>
      </c>
      <c r="M200" s="16">
        <v>2086.5</v>
      </c>
      <c r="N200" s="16">
        <v>20723.5</v>
      </c>
      <c r="O200" s="21">
        <v>0.4</v>
      </c>
      <c r="P200" s="12">
        <v>4.95</v>
      </c>
      <c r="Q200" s="15">
        <v>8.2563055017908606</v>
      </c>
      <c r="R200" s="16">
        <v>6.25</v>
      </c>
      <c r="S200" s="22">
        <v>7.81</v>
      </c>
      <c r="T200" s="23">
        <v>-0.21664678090320072</v>
      </c>
      <c r="U200" s="24">
        <v>66.787499999999994</v>
      </c>
      <c r="V200" s="25">
        <v>14.484999999999999</v>
      </c>
      <c r="W200" s="26">
        <v>37.055084745762706</v>
      </c>
      <c r="X200" s="57">
        <v>71.19</v>
      </c>
    </row>
    <row r="201" spans="1:24" ht="15.5" x14ac:dyDescent="0.35">
      <c r="A201" s="12">
        <v>200</v>
      </c>
      <c r="B201" s="13" t="s">
        <v>271</v>
      </c>
      <c r="C201" s="19">
        <v>2016</v>
      </c>
      <c r="D201" s="14" t="s">
        <v>27</v>
      </c>
      <c r="E201" s="12">
        <v>202</v>
      </c>
      <c r="F201" s="15">
        <v>361</v>
      </c>
      <c r="G201" s="16">
        <v>24</v>
      </c>
      <c r="H201" s="12">
        <v>8</v>
      </c>
      <c r="I201" s="30">
        <v>0.7</v>
      </c>
      <c r="J201" s="19">
        <v>8.06</v>
      </c>
      <c r="K201" s="20">
        <f t="shared" si="8"/>
        <v>17871287.12871287</v>
      </c>
      <c r="L201" s="16">
        <v>12438.7</v>
      </c>
      <c r="M201" s="16">
        <v>370.4</v>
      </c>
      <c r="N201" s="16">
        <v>13423.7</v>
      </c>
      <c r="O201" s="21">
        <v>0.42</v>
      </c>
      <c r="P201" s="12">
        <v>4.95</v>
      </c>
      <c r="Q201" s="15">
        <v>8.2563055017908606</v>
      </c>
      <c r="R201" s="16">
        <v>6.25</v>
      </c>
      <c r="S201" s="22">
        <v>7.81</v>
      </c>
      <c r="T201" s="23">
        <v>0.35534488046599205</v>
      </c>
      <c r="U201" s="24">
        <v>66.709500000000006</v>
      </c>
      <c r="V201" s="25">
        <v>14.565</v>
      </c>
      <c r="W201" s="26">
        <v>-6.2871287128712812</v>
      </c>
      <c r="X201" s="52">
        <v>-20.68</v>
      </c>
    </row>
    <row r="202" spans="1:24" ht="15.5" x14ac:dyDescent="0.35">
      <c r="A202" s="39">
        <v>201</v>
      </c>
      <c r="B202" s="13" t="s">
        <v>272</v>
      </c>
      <c r="C202" s="19">
        <v>2016</v>
      </c>
      <c r="D202" s="14" t="s">
        <v>32</v>
      </c>
      <c r="E202" s="12">
        <v>334</v>
      </c>
      <c r="F202" s="41">
        <v>6056.79</v>
      </c>
      <c r="G202" s="16">
        <v>15</v>
      </c>
      <c r="H202" s="12">
        <v>8</v>
      </c>
      <c r="I202" s="18">
        <v>0.67520000000000002</v>
      </c>
      <c r="J202" s="19">
        <v>10.48</v>
      </c>
      <c r="K202" s="20">
        <f t="shared" si="8"/>
        <v>181341017.96407187</v>
      </c>
      <c r="L202" s="42">
        <v>103232.1</v>
      </c>
      <c r="M202" s="42">
        <v>7394.2</v>
      </c>
      <c r="N202" s="50">
        <v>135226.5</v>
      </c>
      <c r="O202" s="39">
        <v>1.83</v>
      </c>
      <c r="P202" s="12">
        <v>4.95</v>
      </c>
      <c r="Q202" s="15">
        <v>8.2563055017908606</v>
      </c>
      <c r="R202" s="16">
        <v>6.5</v>
      </c>
      <c r="S202" s="22">
        <v>7.81</v>
      </c>
      <c r="T202" s="23">
        <v>-1.7598325929229302</v>
      </c>
      <c r="U202" s="24">
        <v>67.063100000000006</v>
      </c>
      <c r="V202" s="25">
        <v>14.805</v>
      </c>
      <c r="W202" s="26">
        <v>-10.913173652694608</v>
      </c>
      <c r="X202" s="57">
        <v>28.16</v>
      </c>
    </row>
    <row r="203" spans="1:24" ht="15.5" x14ac:dyDescent="0.35">
      <c r="A203" s="12">
        <v>202</v>
      </c>
      <c r="B203" s="13" t="s">
        <v>273</v>
      </c>
      <c r="C203" s="19">
        <v>2016</v>
      </c>
      <c r="D203" s="14" t="s">
        <v>27</v>
      </c>
      <c r="E203" s="19">
        <v>207</v>
      </c>
      <c r="F203" s="41">
        <v>130.41</v>
      </c>
      <c r="G203" s="16">
        <v>23</v>
      </c>
      <c r="H203" s="12">
        <v>10</v>
      </c>
      <c r="I203" s="30">
        <v>0.57999999999999996</v>
      </c>
      <c r="J203" s="19">
        <v>54.88</v>
      </c>
      <c r="K203" s="20">
        <f t="shared" si="8"/>
        <v>6300000</v>
      </c>
      <c r="L203" s="16">
        <v>5366.8</v>
      </c>
      <c r="M203" s="16">
        <v>259.60000000000002</v>
      </c>
      <c r="N203" s="16">
        <v>4465.6000000000004</v>
      </c>
      <c r="O203" s="21">
        <v>0.47</v>
      </c>
      <c r="P203" s="12">
        <v>4.95</v>
      </c>
      <c r="Q203" s="15">
        <v>8.2563055017908606</v>
      </c>
      <c r="R203" s="16">
        <v>6.5</v>
      </c>
      <c r="S203" s="22">
        <v>7.81</v>
      </c>
      <c r="T203" s="23">
        <v>-1.2285521227870388</v>
      </c>
      <c r="U203" s="24">
        <v>66.880399999999995</v>
      </c>
      <c r="V203" s="25">
        <v>14.58</v>
      </c>
      <c r="W203" s="26">
        <v>18.381642512077299</v>
      </c>
      <c r="X203" s="57">
        <v>19.61</v>
      </c>
    </row>
    <row r="204" spans="1:24" ht="15.5" x14ac:dyDescent="0.35">
      <c r="A204" s="12">
        <v>203</v>
      </c>
      <c r="B204" s="13" t="s">
        <v>274</v>
      </c>
      <c r="C204" s="19">
        <v>2016</v>
      </c>
      <c r="D204" s="14" t="s">
        <v>29</v>
      </c>
      <c r="E204" s="12">
        <v>860</v>
      </c>
      <c r="F204" s="41">
        <v>894.4</v>
      </c>
      <c r="G204" s="16">
        <v>4</v>
      </c>
      <c r="H204" s="12">
        <v>8</v>
      </c>
      <c r="I204" s="18">
        <v>0.89770000000000005</v>
      </c>
      <c r="J204" s="19">
        <v>2.52</v>
      </c>
      <c r="K204" s="20">
        <f t="shared" si="8"/>
        <v>10400000</v>
      </c>
      <c r="L204" s="16">
        <v>28937</v>
      </c>
      <c r="M204" s="16">
        <v>4363</v>
      </c>
      <c r="N204" s="16">
        <v>20431</v>
      </c>
      <c r="O204" s="21">
        <v>0.18</v>
      </c>
      <c r="P204" s="12">
        <v>4.95</v>
      </c>
      <c r="Q204" s="15">
        <v>8.2563055017908606</v>
      </c>
      <c r="R204" s="16">
        <v>6.5</v>
      </c>
      <c r="S204" s="22">
        <v>7.81</v>
      </c>
      <c r="T204" s="23">
        <v>-0.40485365014745123</v>
      </c>
      <c r="U204" s="24">
        <v>67.024799999999999</v>
      </c>
      <c r="V204" s="25">
        <v>14.6775</v>
      </c>
      <c r="W204" s="26">
        <v>1.0465116279069768</v>
      </c>
      <c r="X204" s="51">
        <v>11.96</v>
      </c>
    </row>
    <row r="205" spans="1:24" ht="15.5" x14ac:dyDescent="0.35">
      <c r="A205" s="39">
        <v>204</v>
      </c>
      <c r="B205" s="13" t="s">
        <v>275</v>
      </c>
      <c r="C205" s="19">
        <v>2016</v>
      </c>
      <c r="D205" s="14" t="s">
        <v>32</v>
      </c>
      <c r="E205" s="12">
        <v>225</v>
      </c>
      <c r="F205" s="41">
        <v>1212.97</v>
      </c>
      <c r="G205" s="16">
        <v>73</v>
      </c>
      <c r="H205" s="12">
        <v>8</v>
      </c>
      <c r="I205" s="30">
        <v>0.51</v>
      </c>
      <c r="J205" s="19">
        <v>69.62</v>
      </c>
      <c r="K205" s="20">
        <f t="shared" si="8"/>
        <v>53909777.777777776</v>
      </c>
      <c r="L205" s="16">
        <v>27443.07</v>
      </c>
      <c r="M205" s="16">
        <v>2924.8</v>
      </c>
      <c r="N205" s="16">
        <v>392043.1</v>
      </c>
      <c r="O205" s="21">
        <v>1.22</v>
      </c>
      <c r="P205" s="12">
        <v>4.95</v>
      </c>
      <c r="Q205" s="15">
        <v>8.2563055017908606</v>
      </c>
      <c r="R205" s="16">
        <v>6.5</v>
      </c>
      <c r="S205" s="22">
        <v>7.81</v>
      </c>
      <c r="T205" s="23">
        <v>0.47859697976406568</v>
      </c>
      <c r="U205" s="24">
        <v>67.088499999999996</v>
      </c>
      <c r="V205" s="25">
        <v>13.897500000000001</v>
      </c>
      <c r="W205" s="26">
        <v>33.066666666666656</v>
      </c>
      <c r="X205" s="51">
        <v>79.540000000000006</v>
      </c>
    </row>
    <row r="206" spans="1:24" ht="15.5" x14ac:dyDescent="0.35">
      <c r="A206" s="12">
        <v>205</v>
      </c>
      <c r="B206" s="13" t="s">
        <v>276</v>
      </c>
      <c r="C206" s="19">
        <v>2016</v>
      </c>
      <c r="D206" s="14" t="s">
        <v>34</v>
      </c>
      <c r="E206" s="12">
        <v>268</v>
      </c>
      <c r="F206" s="41">
        <v>239.12</v>
      </c>
      <c r="G206" s="16">
        <v>27</v>
      </c>
      <c r="H206" s="12">
        <v>8</v>
      </c>
      <c r="I206" s="18">
        <v>0.63990000000000002</v>
      </c>
      <c r="J206" s="19">
        <v>2.66</v>
      </c>
      <c r="K206" s="20">
        <f t="shared" si="8"/>
        <v>8922388.059701493</v>
      </c>
      <c r="L206" s="16">
        <v>5369.2</v>
      </c>
      <c r="M206" s="16">
        <v>204.9</v>
      </c>
      <c r="N206" s="16">
        <v>5803.8</v>
      </c>
      <c r="O206" s="21">
        <v>0.73</v>
      </c>
      <c r="P206" s="12">
        <v>4.95</v>
      </c>
      <c r="Q206" s="15">
        <v>8.2563055017908606</v>
      </c>
      <c r="R206" s="16">
        <v>6.5</v>
      </c>
      <c r="S206" s="22">
        <v>7.81</v>
      </c>
      <c r="T206" s="23">
        <v>0.93108244153093245</v>
      </c>
      <c r="U206" s="24">
        <v>66.944699999999997</v>
      </c>
      <c r="V206" s="25">
        <v>15.14</v>
      </c>
      <c r="W206" s="26">
        <v>7.7425373134328357</v>
      </c>
      <c r="X206" s="29">
        <v>44.9</v>
      </c>
    </row>
    <row r="207" spans="1:24" ht="15.5" x14ac:dyDescent="0.35">
      <c r="A207" s="12">
        <v>206</v>
      </c>
      <c r="B207" s="13" t="s">
        <v>277</v>
      </c>
      <c r="C207" s="19">
        <v>2016</v>
      </c>
      <c r="D207" s="14" t="s">
        <v>27</v>
      </c>
      <c r="E207" s="12">
        <v>219</v>
      </c>
      <c r="F207" s="41">
        <v>653.98</v>
      </c>
      <c r="G207" s="16">
        <v>10</v>
      </c>
      <c r="H207" s="12">
        <v>8</v>
      </c>
      <c r="I207" s="43">
        <v>0.85570000000000002</v>
      </c>
      <c r="J207" s="19">
        <v>20.95</v>
      </c>
      <c r="K207" s="20">
        <f t="shared" si="8"/>
        <v>29862100.456621006</v>
      </c>
      <c r="L207" s="16">
        <v>40853.199999999997</v>
      </c>
      <c r="M207" s="16">
        <v>2208</v>
      </c>
      <c r="N207" s="16">
        <v>53927.7</v>
      </c>
      <c r="O207" s="21">
        <v>0.66</v>
      </c>
      <c r="P207" s="12">
        <v>4.95</v>
      </c>
      <c r="Q207" s="15">
        <v>8.2563055017908606</v>
      </c>
      <c r="R207" s="16">
        <v>6.5</v>
      </c>
      <c r="S207" s="22">
        <v>7.81</v>
      </c>
      <c r="T207" s="23">
        <v>0.19649914288712866</v>
      </c>
      <c r="U207" s="24">
        <v>66.936800000000005</v>
      </c>
      <c r="V207" s="25">
        <v>16.237500000000001</v>
      </c>
      <c r="W207" s="26">
        <v>14.954337899543379</v>
      </c>
      <c r="X207" s="45">
        <v>104.25</v>
      </c>
    </row>
    <row r="208" spans="1:24" ht="15.5" x14ac:dyDescent="0.35">
      <c r="A208" s="39">
        <v>207</v>
      </c>
      <c r="B208" s="13" t="s">
        <v>278</v>
      </c>
      <c r="C208" s="19">
        <v>2016</v>
      </c>
      <c r="D208" s="14" t="s">
        <v>48</v>
      </c>
      <c r="E208" s="12">
        <v>896</v>
      </c>
      <c r="F208" s="41">
        <v>411.49</v>
      </c>
      <c r="G208" s="16">
        <v>27</v>
      </c>
      <c r="H208" s="12">
        <v>10</v>
      </c>
      <c r="I208" s="18">
        <v>0.80530000000000002</v>
      </c>
      <c r="J208" s="19">
        <v>116.02</v>
      </c>
      <c r="K208" s="20">
        <f t="shared" si="8"/>
        <v>4592522.3214285718</v>
      </c>
      <c r="L208" s="16">
        <v>1485.3</v>
      </c>
      <c r="M208" s="16">
        <v>208.9</v>
      </c>
      <c r="N208" s="16">
        <v>2615.6999999999998</v>
      </c>
      <c r="O208" s="21">
        <v>0.26</v>
      </c>
      <c r="P208" s="12">
        <v>4.95</v>
      </c>
      <c r="Q208" s="15">
        <v>8.2563055017908606</v>
      </c>
      <c r="R208" s="16">
        <v>6.5</v>
      </c>
      <c r="S208" s="22">
        <v>7.81</v>
      </c>
      <c r="T208" s="23">
        <v>-2.2575620767487866E-2</v>
      </c>
      <c r="U208" s="24">
        <v>67.135499999999993</v>
      </c>
      <c r="V208" s="25">
        <v>15.4975</v>
      </c>
      <c r="W208" s="26">
        <v>31.484374999999993</v>
      </c>
      <c r="X208" s="51">
        <v>-73.349999999999994</v>
      </c>
    </row>
    <row r="209" spans="1:24" ht="15.5" x14ac:dyDescent="0.35">
      <c r="A209" s="12">
        <v>208</v>
      </c>
      <c r="B209" s="13" t="s">
        <v>279</v>
      </c>
      <c r="C209" s="19">
        <v>2016</v>
      </c>
      <c r="D209" s="14" t="s">
        <v>29</v>
      </c>
      <c r="E209" s="12">
        <v>710</v>
      </c>
      <c r="F209" s="41">
        <v>1236</v>
      </c>
      <c r="G209" s="16">
        <v>20</v>
      </c>
      <c r="H209" s="12">
        <v>8</v>
      </c>
      <c r="I209" s="30">
        <v>1</v>
      </c>
      <c r="J209" s="19">
        <v>11.69</v>
      </c>
      <c r="K209" s="20">
        <f t="shared" si="8"/>
        <v>17408450.704225354</v>
      </c>
      <c r="L209" s="31">
        <v>45183.6</v>
      </c>
      <c r="M209" s="31">
        <v>5459.8</v>
      </c>
      <c r="N209" s="32">
        <v>39455.800000000003</v>
      </c>
      <c r="O209" s="21">
        <v>0.03</v>
      </c>
      <c r="P209" s="12">
        <v>4.95</v>
      </c>
      <c r="Q209" s="15">
        <v>8.2563055017908606</v>
      </c>
      <c r="R209" s="16">
        <v>6.5</v>
      </c>
      <c r="S209" s="22">
        <v>7.81</v>
      </c>
      <c r="T209" s="23">
        <v>-0.65084481983690567</v>
      </c>
      <c r="U209" s="24">
        <v>67.204599999999999</v>
      </c>
      <c r="V209" s="25">
        <v>15.324999999999999</v>
      </c>
      <c r="W209" s="26">
        <v>-1.7464788732394334</v>
      </c>
      <c r="X209" s="51">
        <v>2.56</v>
      </c>
    </row>
    <row r="210" spans="1:24" ht="15.5" x14ac:dyDescent="0.35">
      <c r="A210" s="12">
        <v>209</v>
      </c>
      <c r="B210" s="13" t="s">
        <v>280</v>
      </c>
      <c r="C210" s="19">
        <v>2016</v>
      </c>
      <c r="D210" s="14" t="s">
        <v>27</v>
      </c>
      <c r="E210" s="12">
        <v>317</v>
      </c>
      <c r="F210" s="41">
        <v>400</v>
      </c>
      <c r="G210" s="16">
        <v>9</v>
      </c>
      <c r="H210" s="12">
        <v>11</v>
      </c>
      <c r="I210" s="18">
        <v>0.99509999999999998</v>
      </c>
      <c r="J210" s="19">
        <v>143.99</v>
      </c>
      <c r="K210" s="20">
        <f t="shared" si="8"/>
        <v>12618296.529968454</v>
      </c>
      <c r="L210" s="16">
        <v>29181.8</v>
      </c>
      <c r="M210" s="16">
        <v>785.5</v>
      </c>
      <c r="N210" s="16">
        <v>11272.2</v>
      </c>
      <c r="O210" s="21">
        <v>0.33</v>
      </c>
      <c r="P210" s="12">
        <v>4.95</v>
      </c>
      <c r="Q210" s="15">
        <v>8.2563055017908606</v>
      </c>
      <c r="R210" s="16">
        <v>6.5</v>
      </c>
      <c r="S210" s="22">
        <v>7.81</v>
      </c>
      <c r="T210" s="23">
        <v>0.62766217125852841</v>
      </c>
      <c r="U210" s="24">
        <v>67.441000000000003</v>
      </c>
      <c r="V210" s="25">
        <v>15.737500000000001</v>
      </c>
      <c r="W210" s="26">
        <v>58.706624605678236</v>
      </c>
      <c r="X210" s="51">
        <v>80.5</v>
      </c>
    </row>
    <row r="211" spans="1:24" ht="15.5" x14ac:dyDescent="0.35">
      <c r="A211" s="39">
        <v>210</v>
      </c>
      <c r="B211" s="13" t="s">
        <v>281</v>
      </c>
      <c r="C211" s="19">
        <v>2016</v>
      </c>
      <c r="D211" s="14" t="s">
        <v>282</v>
      </c>
      <c r="E211" s="12">
        <v>421</v>
      </c>
      <c r="F211" s="41" t="s">
        <v>283</v>
      </c>
      <c r="G211" s="16">
        <v>21</v>
      </c>
      <c r="H211" s="12">
        <v>8</v>
      </c>
      <c r="I211" s="30">
        <v>0.9</v>
      </c>
      <c r="J211" s="19">
        <v>64.540000000000006</v>
      </c>
      <c r="K211" s="20">
        <f>(1039.64*10000000)/421</f>
        <v>24694536.817102142</v>
      </c>
      <c r="L211" s="16">
        <v>22851.3</v>
      </c>
      <c r="M211" s="16">
        <v>3108.9</v>
      </c>
      <c r="N211" s="16">
        <v>23786.400000000001</v>
      </c>
      <c r="O211" s="21">
        <v>0.01</v>
      </c>
      <c r="P211" s="12">
        <v>4.95</v>
      </c>
      <c r="Q211" s="15">
        <v>8.2563055017908606</v>
      </c>
      <c r="R211" s="16">
        <v>6.5</v>
      </c>
      <c r="S211" s="22">
        <v>7.81</v>
      </c>
      <c r="T211" s="23">
        <v>0.489874923833378</v>
      </c>
      <c r="U211" s="24">
        <v>67.370199999999997</v>
      </c>
      <c r="V211" s="25">
        <v>18.02</v>
      </c>
      <c r="W211" s="26">
        <v>23.586698337292152</v>
      </c>
      <c r="X211" s="51">
        <v>90.01</v>
      </c>
    </row>
    <row r="212" spans="1:24" ht="15.5" x14ac:dyDescent="0.35">
      <c r="A212" s="12">
        <v>211</v>
      </c>
      <c r="B212" s="13" t="s">
        <v>284</v>
      </c>
      <c r="C212" s="19">
        <v>2016</v>
      </c>
      <c r="D212" s="14" t="s">
        <v>36</v>
      </c>
      <c r="E212" s="12">
        <v>215</v>
      </c>
      <c r="F212" s="41">
        <v>751.78</v>
      </c>
      <c r="G212" s="16">
        <v>24</v>
      </c>
      <c r="H212" s="12">
        <v>8</v>
      </c>
      <c r="I212" s="18">
        <v>0.61129999999999995</v>
      </c>
      <c r="J212" s="19">
        <v>1.83</v>
      </c>
      <c r="K212" s="20">
        <f t="shared" ref="K212:K217" si="9">(F212*10000000)/E212</f>
        <v>34966511.627906978</v>
      </c>
      <c r="L212" s="16">
        <v>16229.5</v>
      </c>
      <c r="M212" s="16">
        <v>525.1</v>
      </c>
      <c r="N212" s="16">
        <v>10517</v>
      </c>
      <c r="O212" s="21">
        <v>0.81</v>
      </c>
      <c r="P212" s="12">
        <v>4.95</v>
      </c>
      <c r="Q212" s="15">
        <v>8.2563055017908606</v>
      </c>
      <c r="R212" s="16">
        <v>6.5</v>
      </c>
      <c r="S212" s="22">
        <v>7.81</v>
      </c>
      <c r="T212" s="23">
        <v>-1.1022674027813895</v>
      </c>
      <c r="U212" s="24">
        <v>66.695800000000006</v>
      </c>
      <c r="V212" s="25">
        <v>16.962499999999999</v>
      </c>
      <c r="W212" s="26">
        <v>14.883720930232558</v>
      </c>
      <c r="X212" s="51">
        <v>-0.95</v>
      </c>
    </row>
    <row r="213" spans="1:24" ht="15.5" x14ac:dyDescent="0.35">
      <c r="A213" s="12">
        <v>212</v>
      </c>
      <c r="B213" s="13" t="s">
        <v>285</v>
      </c>
      <c r="C213" s="19">
        <v>2016</v>
      </c>
      <c r="D213" s="14" t="s">
        <v>32</v>
      </c>
      <c r="E213" s="12">
        <v>210</v>
      </c>
      <c r="F213" s="41">
        <v>887.69</v>
      </c>
      <c r="G213" s="16">
        <v>11</v>
      </c>
      <c r="H213" s="12">
        <v>8</v>
      </c>
      <c r="I213" s="18">
        <v>0.83260000000000001</v>
      </c>
      <c r="J213" s="19">
        <v>40.68</v>
      </c>
      <c r="K213" s="20">
        <f t="shared" si="9"/>
        <v>42270952.380952381</v>
      </c>
      <c r="L213" s="16">
        <v>5993.17</v>
      </c>
      <c r="M213" s="16">
        <v>1772.2</v>
      </c>
      <c r="N213" s="16">
        <v>59080.4</v>
      </c>
      <c r="O213" s="21">
        <v>4.28</v>
      </c>
      <c r="P213" s="12">
        <v>4.95</v>
      </c>
      <c r="Q213" s="15">
        <v>8.2563055017908606</v>
      </c>
      <c r="R213" s="16">
        <v>6.5</v>
      </c>
      <c r="S213" s="22">
        <v>7.81</v>
      </c>
      <c r="T213" s="23">
        <v>0.27650224699816894</v>
      </c>
      <c r="U213" s="24">
        <v>66.343500000000006</v>
      </c>
      <c r="V213" s="24" t="s">
        <v>286</v>
      </c>
      <c r="W213" s="26">
        <v>10.261904761904768</v>
      </c>
      <c r="X213" s="51">
        <v>46.17</v>
      </c>
    </row>
    <row r="214" spans="1:24" ht="15.5" x14ac:dyDescent="0.35">
      <c r="A214" s="39">
        <v>213</v>
      </c>
      <c r="B214" s="13" t="s">
        <v>287</v>
      </c>
      <c r="C214" s="19">
        <v>2016</v>
      </c>
      <c r="D214" s="14" t="s">
        <v>48</v>
      </c>
      <c r="E214" s="12">
        <v>446</v>
      </c>
      <c r="F214" s="41">
        <v>479.21</v>
      </c>
      <c r="G214" s="16">
        <v>16</v>
      </c>
      <c r="H214" s="12">
        <v>10</v>
      </c>
      <c r="I214" s="18">
        <v>0.64959999999999996</v>
      </c>
      <c r="J214" s="19">
        <v>73.55</v>
      </c>
      <c r="K214" s="20">
        <f t="shared" si="9"/>
        <v>10744618.834080717</v>
      </c>
      <c r="L214" s="16">
        <v>2352.8000000000002</v>
      </c>
      <c r="M214" s="16">
        <v>587.5</v>
      </c>
      <c r="N214" s="16">
        <v>4144.8</v>
      </c>
      <c r="O214" s="21">
        <v>0.18</v>
      </c>
      <c r="P214" s="12">
        <v>4.95</v>
      </c>
      <c r="Q214" s="15">
        <v>8.2563055017908606</v>
      </c>
      <c r="R214" s="16">
        <v>6.5</v>
      </c>
      <c r="S214" s="22">
        <v>7.81</v>
      </c>
      <c r="T214" s="23">
        <v>1.7146267836476583</v>
      </c>
      <c r="U214" s="24">
        <v>66.517600000000002</v>
      </c>
      <c r="V214" s="25">
        <v>16.537500000000001</v>
      </c>
      <c r="W214" s="26">
        <v>38.744394618834072</v>
      </c>
      <c r="X214" s="51">
        <v>15.42</v>
      </c>
    </row>
    <row r="215" spans="1:24" ht="15.5" x14ac:dyDescent="0.35">
      <c r="A215" s="12">
        <v>214</v>
      </c>
      <c r="B215" s="13" t="s">
        <v>288</v>
      </c>
      <c r="C215" s="19">
        <v>2016</v>
      </c>
      <c r="D215" s="14" t="s">
        <v>32</v>
      </c>
      <c r="E215" s="12">
        <v>110</v>
      </c>
      <c r="F215" s="41">
        <v>2175</v>
      </c>
      <c r="G215" s="16">
        <v>9</v>
      </c>
      <c r="H215" s="12">
        <v>14</v>
      </c>
      <c r="I215" s="48">
        <v>0.95</v>
      </c>
      <c r="J215" s="19">
        <v>17.21</v>
      </c>
      <c r="K215" s="20">
        <f t="shared" si="9"/>
        <v>197727272.72727272</v>
      </c>
      <c r="L215" s="12">
        <v>7550.64</v>
      </c>
      <c r="M215" s="16">
        <v>21.2</v>
      </c>
      <c r="N215" s="16">
        <v>9694.9</v>
      </c>
      <c r="O215" s="21">
        <v>1.24</v>
      </c>
      <c r="P215" s="12">
        <v>4.95</v>
      </c>
      <c r="Q215" s="15">
        <v>8.2563055017908606</v>
      </c>
      <c r="R215" s="16">
        <v>6.5</v>
      </c>
      <c r="S215" s="22">
        <v>7.81</v>
      </c>
      <c r="T215" s="23">
        <v>-3.4115985975556387E-2</v>
      </c>
      <c r="U215" s="24">
        <v>66.469800000000006</v>
      </c>
      <c r="V215" s="25">
        <v>16.934999999999999</v>
      </c>
      <c r="W215" s="26">
        <v>22.909090909090899</v>
      </c>
      <c r="X215" s="51">
        <v>27.29</v>
      </c>
    </row>
    <row r="216" spans="1:24" ht="15.5" x14ac:dyDescent="0.35">
      <c r="A216" s="12">
        <v>215</v>
      </c>
      <c r="B216" s="13" t="s">
        <v>289</v>
      </c>
      <c r="C216" s="19">
        <v>2016</v>
      </c>
      <c r="D216" s="14" t="s">
        <v>29</v>
      </c>
      <c r="E216" s="12">
        <v>432</v>
      </c>
      <c r="F216" s="41">
        <v>450</v>
      </c>
      <c r="G216" s="16">
        <v>6</v>
      </c>
      <c r="H216" s="12">
        <v>12</v>
      </c>
      <c r="I216" s="43">
        <v>0.44180000000000003</v>
      </c>
      <c r="J216" s="19">
        <v>1.1100000000000001</v>
      </c>
      <c r="K216" s="20">
        <f t="shared" si="9"/>
        <v>10416666.666666666</v>
      </c>
      <c r="L216" s="16">
        <v>292.3</v>
      </c>
      <c r="M216" s="16">
        <v>-82</v>
      </c>
      <c r="N216" s="16">
        <v>2857.5</v>
      </c>
      <c r="O216" s="21">
        <v>0.01</v>
      </c>
      <c r="P216" s="12">
        <v>4.95</v>
      </c>
      <c r="Q216" s="15">
        <v>8.2563055017908606</v>
      </c>
      <c r="R216" s="16">
        <v>6.75</v>
      </c>
      <c r="S216" s="22">
        <v>7.81</v>
      </c>
      <c r="T216" s="23">
        <v>0.59314804130660981</v>
      </c>
      <c r="U216" s="24">
        <v>66.864000000000004</v>
      </c>
      <c r="V216" s="25">
        <v>16.344999999999999</v>
      </c>
      <c r="W216" s="26">
        <v>3.1828703703703707</v>
      </c>
      <c r="X216" s="29">
        <v>112.82</v>
      </c>
    </row>
    <row r="217" spans="1:24" ht="15.5" x14ac:dyDescent="0.35">
      <c r="A217" s="39">
        <v>216</v>
      </c>
      <c r="B217" s="13" t="s">
        <v>290</v>
      </c>
      <c r="C217" s="19">
        <v>2016</v>
      </c>
      <c r="D217" s="14" t="s">
        <v>25</v>
      </c>
      <c r="E217" s="12">
        <v>45</v>
      </c>
      <c r="F217" s="41">
        <v>70</v>
      </c>
      <c r="G217" s="16">
        <v>30</v>
      </c>
      <c r="H217" s="12">
        <v>10</v>
      </c>
      <c r="I217" s="18">
        <v>0.73340000000000005</v>
      </c>
      <c r="J217" s="19">
        <v>1.21</v>
      </c>
      <c r="K217" s="20">
        <f t="shared" si="9"/>
        <v>15555555.555555556</v>
      </c>
      <c r="L217" s="16">
        <v>834.5</v>
      </c>
      <c r="M217" s="16">
        <v>3.3</v>
      </c>
      <c r="N217" s="16">
        <v>1522.3</v>
      </c>
      <c r="O217" s="21">
        <v>1.0900000000000001</v>
      </c>
      <c r="P217" s="12">
        <v>4.95</v>
      </c>
      <c r="Q217" s="15">
        <v>8.2563055017908606</v>
      </c>
      <c r="R217" s="16">
        <v>6.75</v>
      </c>
      <c r="S217" s="22">
        <v>7.81</v>
      </c>
      <c r="T217" s="23">
        <v>-0.28635581497569768</v>
      </c>
      <c r="U217" s="24">
        <v>66.5411</v>
      </c>
      <c r="V217" s="25">
        <v>16.43</v>
      </c>
      <c r="W217" s="26">
        <v>1.2222222222222159</v>
      </c>
      <c r="X217" s="51">
        <v>112.4</v>
      </c>
    </row>
    <row r="218" spans="1:24" ht="15.5" x14ac:dyDescent="0.35">
      <c r="A218" s="12">
        <v>217</v>
      </c>
      <c r="B218" s="13" t="s">
        <v>291</v>
      </c>
      <c r="C218" s="19">
        <v>2016</v>
      </c>
      <c r="D218" s="14" t="s">
        <v>48</v>
      </c>
      <c r="E218" s="12">
        <v>218</v>
      </c>
      <c r="F218" s="41" t="s">
        <v>292</v>
      </c>
      <c r="G218" s="16">
        <v>18</v>
      </c>
      <c r="H218" s="12">
        <v>12</v>
      </c>
      <c r="I218" s="18">
        <v>0.3493</v>
      </c>
      <c r="J218" s="19">
        <v>1.56</v>
      </c>
      <c r="K218" s="20">
        <f>(649.64*10000000)/218</f>
        <v>29800000</v>
      </c>
      <c r="L218" s="16">
        <v>4201.6000000000004</v>
      </c>
      <c r="M218" s="16">
        <v>-23.7</v>
      </c>
      <c r="N218" s="16">
        <v>7635.2</v>
      </c>
      <c r="O218" s="21">
        <v>1.36</v>
      </c>
      <c r="P218" s="12">
        <v>4.95</v>
      </c>
      <c r="Q218" s="15">
        <v>8.2563055017908606</v>
      </c>
      <c r="R218" s="16">
        <v>6.75</v>
      </c>
      <c r="S218" s="22">
        <v>7.81</v>
      </c>
      <c r="T218" s="23">
        <v>1.8191417006713222</v>
      </c>
      <c r="U218" s="24">
        <v>66.608800000000002</v>
      </c>
      <c r="V218" s="25">
        <v>16.3825</v>
      </c>
      <c r="W218" s="26">
        <v>-21.559633027522938</v>
      </c>
      <c r="X218" s="57">
        <v>34.01</v>
      </c>
    </row>
    <row r="219" spans="1:24" ht="15.5" x14ac:dyDescent="0.35">
      <c r="A219" s="12">
        <v>218</v>
      </c>
      <c r="B219" s="13" t="s">
        <v>293</v>
      </c>
      <c r="C219" s="19">
        <v>2016</v>
      </c>
      <c r="D219" s="14" t="s">
        <v>29</v>
      </c>
      <c r="E219" s="12">
        <v>321</v>
      </c>
      <c r="F219" s="41">
        <v>451.25</v>
      </c>
      <c r="G219" s="16">
        <v>21</v>
      </c>
      <c r="H219" s="12">
        <v>8</v>
      </c>
      <c r="I219" s="18">
        <v>0.86939999999999995</v>
      </c>
      <c r="J219" s="19">
        <v>10.8</v>
      </c>
      <c r="K219" s="20">
        <f t="shared" ref="K219:K229" si="10">(F219*10000000)/E219</f>
        <v>14057632.398753894</v>
      </c>
      <c r="L219" s="16">
        <v>2840.6</v>
      </c>
      <c r="M219" s="16">
        <v>563</v>
      </c>
      <c r="N219" s="16">
        <v>4586.3999999999996</v>
      </c>
      <c r="O219" s="21">
        <v>0.06</v>
      </c>
      <c r="P219" s="12">
        <v>4.95</v>
      </c>
      <c r="Q219" s="15">
        <v>8.2563055017908606</v>
      </c>
      <c r="R219" s="16">
        <v>6.75</v>
      </c>
      <c r="S219" s="22">
        <v>7.81</v>
      </c>
      <c r="T219" s="23">
        <v>1.1718447762873789</v>
      </c>
      <c r="U219" s="24">
        <v>67.878100000000003</v>
      </c>
      <c r="V219" s="25">
        <v>22.465</v>
      </c>
      <c r="W219" s="26">
        <v>-20.9190031152648</v>
      </c>
      <c r="X219" s="57">
        <v>-0.63</v>
      </c>
    </row>
    <row r="220" spans="1:24" ht="15.5" x14ac:dyDescent="0.35">
      <c r="A220" s="39">
        <v>219</v>
      </c>
      <c r="B220" s="13" t="s">
        <v>294</v>
      </c>
      <c r="C220" s="19">
        <v>2016</v>
      </c>
      <c r="D220" s="14" t="s">
        <v>27</v>
      </c>
      <c r="E220" s="12">
        <v>850</v>
      </c>
      <c r="F220" s="41">
        <v>423.68</v>
      </c>
      <c r="G220" s="16">
        <v>14</v>
      </c>
      <c r="H220" s="12">
        <v>8</v>
      </c>
      <c r="I220" s="18">
        <v>0.48270000000000002</v>
      </c>
      <c r="J220" s="19">
        <v>66.02</v>
      </c>
      <c r="K220" s="20">
        <f t="shared" si="10"/>
        <v>4984470.5882352944</v>
      </c>
      <c r="L220" s="16">
        <v>22504.1</v>
      </c>
      <c r="M220" s="16">
        <v>322.5</v>
      </c>
      <c r="N220" s="16">
        <v>3210.3</v>
      </c>
      <c r="O220" s="21">
        <v>0</v>
      </c>
      <c r="P220" s="12">
        <v>4.95</v>
      </c>
      <c r="Q220" s="15">
        <v>8.2563055017908606</v>
      </c>
      <c r="R220" s="16">
        <v>6.75</v>
      </c>
      <c r="S220" s="22">
        <v>7.81</v>
      </c>
      <c r="T220" s="23">
        <v>6.593985393508045E-2</v>
      </c>
      <c r="U220" s="24">
        <v>67.809299999999993</v>
      </c>
      <c r="V220" s="25">
        <v>18.2075</v>
      </c>
      <c r="W220" s="26">
        <v>21.411764705882351</v>
      </c>
      <c r="X220" s="29">
        <v>-12.56</v>
      </c>
    </row>
    <row r="221" spans="1:24" ht="15.5" x14ac:dyDescent="0.35">
      <c r="A221" s="12">
        <v>220</v>
      </c>
      <c r="B221" s="13" t="s">
        <v>295</v>
      </c>
      <c r="C221" s="19">
        <v>2016</v>
      </c>
      <c r="D221" s="14" t="s">
        <v>27</v>
      </c>
      <c r="E221" s="12">
        <v>186</v>
      </c>
      <c r="F221" s="41">
        <v>410</v>
      </c>
      <c r="G221" s="16">
        <v>24</v>
      </c>
      <c r="H221" s="12">
        <v>10</v>
      </c>
      <c r="I221" s="18">
        <v>0.63980000000000004</v>
      </c>
      <c r="J221" s="19">
        <v>1.91</v>
      </c>
      <c r="K221" s="20">
        <f t="shared" si="10"/>
        <v>22043010.752688173</v>
      </c>
      <c r="L221" s="16">
        <v>5305.6</v>
      </c>
      <c r="M221" s="16">
        <v>476.3</v>
      </c>
      <c r="N221" s="16">
        <v>5680.6</v>
      </c>
      <c r="O221" s="21">
        <v>1.03</v>
      </c>
      <c r="P221" s="12">
        <v>4.95</v>
      </c>
      <c r="Q221" s="15">
        <v>8.2563055017908606</v>
      </c>
      <c r="R221" s="16">
        <v>6.75</v>
      </c>
      <c r="S221" s="22">
        <v>7.81</v>
      </c>
      <c r="T221" s="23">
        <v>-1.3599764991788115</v>
      </c>
      <c r="U221" s="24">
        <v>67.876300000000001</v>
      </c>
      <c r="V221" s="25">
        <v>17.239999999999998</v>
      </c>
      <c r="W221" s="26">
        <v>-4.5967741935483932</v>
      </c>
      <c r="X221" s="51">
        <v>-13.55</v>
      </c>
    </row>
    <row r="222" spans="1:24" ht="15.5" x14ac:dyDescent="0.35">
      <c r="A222" s="12">
        <v>221</v>
      </c>
      <c r="B222" s="13" t="s">
        <v>296</v>
      </c>
      <c r="C222" s="19">
        <v>2015</v>
      </c>
      <c r="D222" s="14" t="s">
        <v>48</v>
      </c>
      <c r="E222" s="12">
        <v>250</v>
      </c>
      <c r="F222" s="41">
        <v>613.08000000000004</v>
      </c>
      <c r="G222" s="16">
        <v>15</v>
      </c>
      <c r="H222" s="12">
        <v>16</v>
      </c>
      <c r="I222" s="18">
        <v>0.63849999999999996</v>
      </c>
      <c r="J222" s="19">
        <v>8.6999999999999993</v>
      </c>
      <c r="K222" s="20">
        <f t="shared" si="10"/>
        <v>24523200</v>
      </c>
      <c r="L222" s="16">
        <v>13075.7</v>
      </c>
      <c r="M222" s="16">
        <v>210</v>
      </c>
      <c r="N222" s="16">
        <v>13318.1</v>
      </c>
      <c r="O222" s="21">
        <v>0.34</v>
      </c>
      <c r="P222" s="12">
        <v>4.91</v>
      </c>
      <c r="Q222" s="15">
        <v>7.9962537857147096</v>
      </c>
      <c r="R222" s="16">
        <v>6.75</v>
      </c>
      <c r="S222" s="22">
        <v>7.89</v>
      </c>
      <c r="T222" s="23">
        <v>2.2818862888627542</v>
      </c>
      <c r="U222" s="24">
        <v>66.323999999999998</v>
      </c>
      <c r="V222" s="25">
        <v>14.225</v>
      </c>
      <c r="W222" s="26">
        <v>34.779999999999994</v>
      </c>
      <c r="X222" s="51">
        <v>0.8</v>
      </c>
    </row>
    <row r="223" spans="1:24" ht="15.5" x14ac:dyDescent="0.35">
      <c r="A223" s="39">
        <v>222</v>
      </c>
      <c r="B223" s="13" t="s">
        <v>297</v>
      </c>
      <c r="C223" s="19">
        <v>2015</v>
      </c>
      <c r="D223" s="14" t="s">
        <v>48</v>
      </c>
      <c r="E223" s="12">
        <v>1050</v>
      </c>
      <c r="F223" s="41">
        <v>1349.61</v>
      </c>
      <c r="G223" s="16">
        <v>42</v>
      </c>
      <c r="H223" s="12">
        <v>13</v>
      </c>
      <c r="I223" s="18">
        <v>0.66959999999999997</v>
      </c>
      <c r="J223" s="19">
        <v>44.29</v>
      </c>
      <c r="K223" s="20">
        <f t="shared" si="10"/>
        <v>12853428.571428569</v>
      </c>
      <c r="L223" s="16">
        <v>32102.5</v>
      </c>
      <c r="M223" s="16">
        <v>3676.9</v>
      </c>
      <c r="N223" s="16">
        <v>48985.9</v>
      </c>
      <c r="O223" s="21">
        <v>0.06</v>
      </c>
      <c r="P223" s="12">
        <v>4.91</v>
      </c>
      <c r="Q223" s="15">
        <v>7.9962537857147096</v>
      </c>
      <c r="R223" s="16">
        <v>6.75</v>
      </c>
      <c r="S223" s="22">
        <v>7.89</v>
      </c>
      <c r="T223" s="23">
        <v>1.0255480278958653</v>
      </c>
      <c r="U223" s="24">
        <v>66.790499999999994</v>
      </c>
      <c r="V223" s="25">
        <v>16.2925</v>
      </c>
      <c r="W223" s="26">
        <v>31.590476190476195</v>
      </c>
      <c r="X223" s="57">
        <v>16.350000000000001</v>
      </c>
    </row>
    <row r="224" spans="1:24" ht="15.5" x14ac:dyDescent="0.35">
      <c r="A224" s="12">
        <v>223</v>
      </c>
      <c r="B224" s="13" t="s">
        <v>298</v>
      </c>
      <c r="C224" s="19">
        <v>2015</v>
      </c>
      <c r="D224" s="14" t="s">
        <v>48</v>
      </c>
      <c r="E224" s="12">
        <v>550</v>
      </c>
      <c r="F224" s="41">
        <v>638</v>
      </c>
      <c r="G224" s="16">
        <v>20</v>
      </c>
      <c r="H224" s="12">
        <v>13</v>
      </c>
      <c r="I224" s="33">
        <v>0.63959999999999995</v>
      </c>
      <c r="J224" s="19">
        <v>33.409999999999997</v>
      </c>
      <c r="K224" s="20">
        <f t="shared" si="10"/>
        <v>11600000</v>
      </c>
      <c r="L224" s="16">
        <v>6366.1</v>
      </c>
      <c r="M224" s="16">
        <v>877.5</v>
      </c>
      <c r="N224" s="16">
        <v>4540</v>
      </c>
      <c r="O224" s="21">
        <v>0.09</v>
      </c>
      <c r="P224" s="12">
        <v>4.91</v>
      </c>
      <c r="Q224" s="15">
        <v>7.9962537857147096</v>
      </c>
      <c r="R224" s="16">
        <v>6.75</v>
      </c>
      <c r="S224" s="22">
        <v>7.89</v>
      </c>
      <c r="T224" s="23">
        <v>1.0255480278958653</v>
      </c>
      <c r="U224" s="24">
        <v>66.790499999999994</v>
      </c>
      <c r="V224" s="25">
        <v>16.2925</v>
      </c>
      <c r="W224" s="26">
        <v>50</v>
      </c>
      <c r="X224" s="57">
        <v>26.48</v>
      </c>
    </row>
    <row r="225" spans="1:24" ht="15.5" x14ac:dyDescent="0.35">
      <c r="A225" s="12">
        <v>224</v>
      </c>
      <c r="B225" s="13" t="s">
        <v>299</v>
      </c>
      <c r="C225" s="19">
        <v>2015</v>
      </c>
      <c r="D225" s="14" t="s">
        <v>25</v>
      </c>
      <c r="E225" s="12">
        <v>180</v>
      </c>
      <c r="F225" s="41">
        <v>508.17</v>
      </c>
      <c r="G225" s="16">
        <v>93</v>
      </c>
      <c r="H225" s="12">
        <v>17</v>
      </c>
      <c r="I225" s="18">
        <v>0.65680000000000005</v>
      </c>
      <c r="J225" s="19">
        <v>27</v>
      </c>
      <c r="K225" s="20">
        <f t="shared" si="10"/>
        <v>28231666.666666668</v>
      </c>
      <c r="L225" s="31">
        <v>7334.4</v>
      </c>
      <c r="M225" s="31">
        <v>378.9</v>
      </c>
      <c r="N225" s="32">
        <v>5825.9</v>
      </c>
      <c r="O225" s="21">
        <v>0.18</v>
      </c>
      <c r="P225" s="12">
        <v>4.91</v>
      </c>
      <c r="Q225" s="15">
        <v>7.9962537857147096</v>
      </c>
      <c r="R225" s="16">
        <v>6.75</v>
      </c>
      <c r="S225" s="22">
        <v>7.89</v>
      </c>
      <c r="T225" s="23">
        <v>0.57135621759154742</v>
      </c>
      <c r="U225" s="24">
        <v>65.223100000000002</v>
      </c>
      <c r="V225" s="25">
        <v>17.88</v>
      </c>
      <c r="W225" s="26">
        <v>16.583333333333332</v>
      </c>
      <c r="X225" s="57">
        <v>33.64</v>
      </c>
    </row>
    <row r="226" spans="1:24" ht="15.5" x14ac:dyDescent="0.35">
      <c r="A226" s="39">
        <v>225</v>
      </c>
      <c r="B226" s="13" t="s">
        <v>300</v>
      </c>
      <c r="C226" s="19">
        <v>2015</v>
      </c>
      <c r="D226" s="14" t="s">
        <v>27</v>
      </c>
      <c r="E226" s="12">
        <v>765</v>
      </c>
      <c r="F226" s="41">
        <v>3018.24</v>
      </c>
      <c r="G226" s="16">
        <v>9</v>
      </c>
      <c r="H226" s="12">
        <v>12</v>
      </c>
      <c r="I226" s="18">
        <v>0.85699999999999998</v>
      </c>
      <c r="J226" s="19">
        <v>6.15</v>
      </c>
      <c r="K226" s="20">
        <f t="shared" si="10"/>
        <v>39454117.647058822</v>
      </c>
      <c r="L226" s="16">
        <v>142806.5</v>
      </c>
      <c r="M226" s="16">
        <v>13041.7</v>
      </c>
      <c r="N226" s="16">
        <v>117236.1</v>
      </c>
      <c r="O226" s="21">
        <v>4.2</v>
      </c>
      <c r="P226" s="12">
        <v>4.91</v>
      </c>
      <c r="Q226" s="15">
        <v>7.9962537857147096</v>
      </c>
      <c r="R226" s="16">
        <v>6.75</v>
      </c>
      <c r="S226" s="22">
        <v>7.89</v>
      </c>
      <c r="T226" s="23">
        <v>-1.6657810541742462</v>
      </c>
      <c r="U226" s="24">
        <v>65.151499999999999</v>
      </c>
      <c r="V226" s="25">
        <v>17.5825</v>
      </c>
      <c r="W226" s="26">
        <v>14.673202614379086</v>
      </c>
      <c r="X226" s="57">
        <v>8.1300000000000008</v>
      </c>
    </row>
    <row r="227" spans="1:24" ht="15.5" x14ac:dyDescent="0.35">
      <c r="A227" s="12">
        <v>226</v>
      </c>
      <c r="B227" s="13" t="s">
        <v>301</v>
      </c>
      <c r="C227" s="19">
        <v>2015</v>
      </c>
      <c r="D227" s="14" t="s">
        <v>34</v>
      </c>
      <c r="E227" s="12">
        <v>328</v>
      </c>
      <c r="F227" s="41">
        <v>1150</v>
      </c>
      <c r="G227" s="16">
        <v>19</v>
      </c>
      <c r="H227" s="12">
        <v>17</v>
      </c>
      <c r="I227" s="18">
        <v>0.52590000000000003</v>
      </c>
      <c r="J227" s="19">
        <v>1.82</v>
      </c>
      <c r="K227" s="20">
        <f t="shared" si="10"/>
        <v>35060975.609756097</v>
      </c>
      <c r="L227" s="16">
        <v>179</v>
      </c>
      <c r="M227" s="16">
        <v>-1257.9000000000001</v>
      </c>
      <c r="N227" s="16">
        <v>20935.900000000001</v>
      </c>
      <c r="O227" s="21">
        <v>8.3800000000000008</v>
      </c>
      <c r="P227" s="12">
        <v>4.91</v>
      </c>
      <c r="Q227" s="15">
        <v>7.9962537857147096</v>
      </c>
      <c r="R227" s="16">
        <v>6.75</v>
      </c>
      <c r="S227" s="22">
        <v>7.89</v>
      </c>
      <c r="T227" s="23">
        <v>-0.18597281112847491</v>
      </c>
      <c r="U227" s="24">
        <v>64.969700000000003</v>
      </c>
      <c r="V227" s="25">
        <v>16.274999999999999</v>
      </c>
      <c r="W227" s="26">
        <v>-17.378048780487802</v>
      </c>
      <c r="X227" s="57">
        <v>-33.54</v>
      </c>
    </row>
    <row r="228" spans="1:24" ht="15.5" x14ac:dyDescent="0.35">
      <c r="A228" s="12">
        <v>227</v>
      </c>
      <c r="B228" s="13" t="s">
        <v>302</v>
      </c>
      <c r="C228" s="19">
        <v>2015</v>
      </c>
      <c r="D228" s="14" t="s">
        <v>27</v>
      </c>
      <c r="E228" s="12">
        <v>103</v>
      </c>
      <c r="F228" s="41">
        <v>491.66</v>
      </c>
      <c r="G228" s="16">
        <v>8</v>
      </c>
      <c r="H228" s="12">
        <v>14</v>
      </c>
      <c r="I228" s="18">
        <v>0.71199999999999997</v>
      </c>
      <c r="J228" s="19">
        <v>2.2400000000000002</v>
      </c>
      <c r="K228" s="20">
        <f t="shared" si="10"/>
        <v>47733980.58252427</v>
      </c>
      <c r="L228" s="16">
        <v>701</v>
      </c>
      <c r="M228" s="16">
        <v>-632.70000000000005</v>
      </c>
      <c r="N228" s="16">
        <v>22041.7</v>
      </c>
      <c r="O228" s="21">
        <v>7.41</v>
      </c>
      <c r="P228" s="12">
        <v>4.91</v>
      </c>
      <c r="Q228" s="15">
        <v>7.9962537857147096</v>
      </c>
      <c r="R228" s="16">
        <v>7.25</v>
      </c>
      <c r="S228" s="22">
        <v>7.89</v>
      </c>
      <c r="T228" s="23">
        <v>0.89473760713236183</v>
      </c>
      <c r="U228" s="24">
        <v>66.163799999999995</v>
      </c>
      <c r="V228" s="25">
        <v>26.65</v>
      </c>
      <c r="W228" s="26">
        <v>3.106796116504857</v>
      </c>
      <c r="X228" s="57">
        <v>-5.13</v>
      </c>
    </row>
    <row r="229" spans="1:24" ht="15.5" x14ac:dyDescent="0.35">
      <c r="A229" s="39">
        <v>228</v>
      </c>
      <c r="B229" s="13" t="s">
        <v>303</v>
      </c>
      <c r="C229" s="19">
        <v>2015</v>
      </c>
      <c r="D229" s="14" t="s">
        <v>36</v>
      </c>
      <c r="E229" s="12">
        <v>115</v>
      </c>
      <c r="F229" s="41">
        <v>356.19</v>
      </c>
      <c r="G229" s="16">
        <v>17</v>
      </c>
      <c r="H229" s="12">
        <v>17</v>
      </c>
      <c r="I229" s="18">
        <v>0.98729999999999996</v>
      </c>
      <c r="J229" s="19">
        <v>0.77</v>
      </c>
      <c r="K229" s="20">
        <f t="shared" si="10"/>
        <v>30973043.478260871</v>
      </c>
      <c r="L229" s="16">
        <v>8746.2999999999993</v>
      </c>
      <c r="M229" s="16">
        <v>36</v>
      </c>
      <c r="N229" s="16">
        <v>4749.6000000000004</v>
      </c>
      <c r="O229" s="21" t="s">
        <v>383</v>
      </c>
      <c r="P229" s="12">
        <v>4.91</v>
      </c>
      <c r="Q229" s="15">
        <v>7.9962537857147096</v>
      </c>
      <c r="R229" s="16">
        <v>7.25</v>
      </c>
      <c r="S229" s="22">
        <v>7.89</v>
      </c>
      <c r="T229" s="23">
        <v>-6.0134830052991736E-2</v>
      </c>
      <c r="U229" s="24">
        <v>66.400300000000001</v>
      </c>
      <c r="V229" s="25">
        <v>26.422499999999999</v>
      </c>
      <c r="W229" s="26">
        <v>0.82608695652174169</v>
      </c>
      <c r="X229" s="52">
        <v>-15.05</v>
      </c>
    </row>
    <row r="230" spans="1:24" ht="15.5" x14ac:dyDescent="0.35">
      <c r="A230" s="12">
        <v>229</v>
      </c>
      <c r="B230" s="13" t="s">
        <v>304</v>
      </c>
      <c r="C230" s="19">
        <v>2015</v>
      </c>
      <c r="D230" s="14" t="s">
        <v>25</v>
      </c>
      <c r="E230" s="12">
        <v>65</v>
      </c>
      <c r="F230" s="41" t="s">
        <v>305</v>
      </c>
      <c r="G230" s="16">
        <v>22</v>
      </c>
      <c r="H230" s="12">
        <v>14</v>
      </c>
      <c r="I230" s="18">
        <v>0.65890000000000004</v>
      </c>
      <c r="J230" s="19">
        <v>1.34</v>
      </c>
      <c r="K230" s="20">
        <f>(70*10000000)/65</f>
        <v>10769230.76923077</v>
      </c>
      <c r="L230" s="16">
        <v>2776.9</v>
      </c>
      <c r="M230" s="16">
        <v>186.5</v>
      </c>
      <c r="N230" s="16">
        <v>1398.2</v>
      </c>
      <c r="O230" s="21">
        <v>0.05</v>
      </c>
      <c r="P230" s="12">
        <v>4.91</v>
      </c>
      <c r="Q230" s="15">
        <v>7.9962537857147096</v>
      </c>
      <c r="R230" s="16">
        <v>7.25</v>
      </c>
      <c r="S230" s="22">
        <v>7.89</v>
      </c>
      <c r="T230" s="23">
        <v>-0.39009416007981573</v>
      </c>
      <c r="U230" s="24">
        <v>66.060500000000005</v>
      </c>
      <c r="V230" s="25">
        <v>22.0425</v>
      </c>
      <c r="W230" s="26">
        <v>-3.0000000000000044</v>
      </c>
      <c r="X230" s="57">
        <v>86.99</v>
      </c>
    </row>
    <row r="231" spans="1:24" ht="15.5" x14ac:dyDescent="0.35">
      <c r="A231" s="12">
        <v>230</v>
      </c>
      <c r="B231" s="13" t="s">
        <v>306</v>
      </c>
      <c r="C231" s="19">
        <v>2015</v>
      </c>
      <c r="D231" s="14" t="s">
        <v>27</v>
      </c>
      <c r="E231" s="12">
        <v>178</v>
      </c>
      <c r="F231" s="41" t="s">
        <v>307</v>
      </c>
      <c r="G231" s="16">
        <v>5</v>
      </c>
      <c r="H231" s="12">
        <v>14</v>
      </c>
      <c r="I231" s="18">
        <v>0.59370000000000001</v>
      </c>
      <c r="J231" s="19">
        <v>1.1499999999999999</v>
      </c>
      <c r="K231" s="20">
        <f>(156.19*10000000)/178</f>
        <v>8774719.1011235956</v>
      </c>
      <c r="L231" s="16">
        <v>4896.3999999999996</v>
      </c>
      <c r="M231" s="16">
        <v>219.1</v>
      </c>
      <c r="N231" s="16">
        <v>3547.8</v>
      </c>
      <c r="O231" s="21">
        <v>0.08</v>
      </c>
      <c r="P231" s="12">
        <v>4.91</v>
      </c>
      <c r="Q231" s="15">
        <v>7.9962537857147096</v>
      </c>
      <c r="R231" s="16">
        <v>7.25</v>
      </c>
      <c r="S231" s="22">
        <v>7.89</v>
      </c>
      <c r="T231" s="23">
        <v>-0.39009416007981573</v>
      </c>
      <c r="U231" s="24">
        <v>66.060500000000005</v>
      </c>
      <c r="V231" s="25">
        <v>22.0425</v>
      </c>
      <c r="W231" s="26">
        <v>-4.7752808988764039</v>
      </c>
      <c r="X231" s="52">
        <v>1.77</v>
      </c>
    </row>
    <row r="232" spans="1:24" ht="15.5" x14ac:dyDescent="0.35">
      <c r="A232" s="39">
        <v>231</v>
      </c>
      <c r="B232" s="13" t="s">
        <v>308</v>
      </c>
      <c r="C232" s="19">
        <v>2015</v>
      </c>
      <c r="D232" s="14" t="s">
        <v>27</v>
      </c>
      <c r="E232" s="12">
        <v>155</v>
      </c>
      <c r="F232" s="41">
        <v>600</v>
      </c>
      <c r="G232" s="16">
        <v>7</v>
      </c>
      <c r="H232" s="12">
        <v>14</v>
      </c>
      <c r="I232" s="18">
        <v>0.74780000000000002</v>
      </c>
      <c r="J232" s="19">
        <v>2.85</v>
      </c>
      <c r="K232" s="20">
        <f>(F232*10000000)/E232</f>
        <v>38709677.419354841</v>
      </c>
      <c r="L232" s="16">
        <v>3287.5</v>
      </c>
      <c r="M232" s="16">
        <v>696.7</v>
      </c>
      <c r="N232" s="16">
        <v>11225.8</v>
      </c>
      <c r="O232" s="21">
        <v>0.71</v>
      </c>
      <c r="P232" s="12">
        <v>4.91</v>
      </c>
      <c r="Q232" s="15">
        <v>7.9962537857147096</v>
      </c>
      <c r="R232" s="16">
        <v>7.25</v>
      </c>
      <c r="S232" s="22">
        <v>7.89</v>
      </c>
      <c r="T232" s="23">
        <v>1.6954456215653744</v>
      </c>
      <c r="U232" s="24">
        <v>66.161000000000001</v>
      </c>
      <c r="V232" s="25">
        <v>25.515000000000001</v>
      </c>
      <c r="W232" s="26">
        <v>7.6451612903225774</v>
      </c>
      <c r="X232" s="57">
        <v>12.56</v>
      </c>
    </row>
    <row r="233" spans="1:24" ht="15.5" x14ac:dyDescent="0.35">
      <c r="A233" s="12">
        <v>232</v>
      </c>
      <c r="B233" s="13" t="s">
        <v>309</v>
      </c>
      <c r="C233" s="19">
        <v>2015</v>
      </c>
      <c r="D233" s="14" t="s">
        <v>27</v>
      </c>
      <c r="E233" s="12">
        <v>640</v>
      </c>
      <c r="F233" s="41" t="s">
        <v>310</v>
      </c>
      <c r="G233" s="16">
        <v>8</v>
      </c>
      <c r="H233" s="12">
        <v>15</v>
      </c>
      <c r="I233" s="43">
        <v>0.69169999999999998</v>
      </c>
      <c r="J233" s="19">
        <v>38.119999999999997</v>
      </c>
      <c r="K233" s="20">
        <f>(273.22*10000000)/640</f>
        <v>4269062.5000000009</v>
      </c>
      <c r="L233" s="16">
        <v>13543.8</v>
      </c>
      <c r="M233" s="16">
        <v>707</v>
      </c>
      <c r="N233" s="16">
        <v>11520.3</v>
      </c>
      <c r="O233" s="21">
        <v>0.2</v>
      </c>
      <c r="P233" s="12">
        <v>4.91</v>
      </c>
      <c r="Q233" s="15">
        <v>7.9962537857147096</v>
      </c>
      <c r="R233" s="16">
        <v>7.25</v>
      </c>
      <c r="S233" s="22">
        <v>7.89</v>
      </c>
      <c r="T233" s="23">
        <v>-1.1274366744070949</v>
      </c>
      <c r="U233" s="24">
        <v>64.173199999999994</v>
      </c>
      <c r="V233" s="25">
        <v>15.8925</v>
      </c>
      <c r="W233" s="26">
        <v>-9.375</v>
      </c>
      <c r="X233" s="52">
        <v>-18.079999999999998</v>
      </c>
    </row>
    <row r="234" spans="1:24" ht="15.5" x14ac:dyDescent="0.35">
      <c r="A234" s="12">
        <v>233</v>
      </c>
      <c r="B234" s="13" t="s">
        <v>311</v>
      </c>
      <c r="C234" s="19">
        <v>2015</v>
      </c>
      <c r="D234" s="14" t="s">
        <v>48</v>
      </c>
      <c r="E234" s="12">
        <v>250</v>
      </c>
      <c r="F234" s="41">
        <v>550</v>
      </c>
      <c r="G234" s="16">
        <v>22</v>
      </c>
      <c r="H234" s="12">
        <v>13</v>
      </c>
      <c r="I234" s="43">
        <v>0.74460000000000004</v>
      </c>
      <c r="J234" s="19">
        <v>32.049999999999997</v>
      </c>
      <c r="K234" s="20">
        <f>(F234*10000000)/E234</f>
        <v>22000000</v>
      </c>
      <c r="L234" s="16">
        <v>8599</v>
      </c>
      <c r="M234" s="16">
        <v>1750</v>
      </c>
      <c r="N234" s="16">
        <v>14271</v>
      </c>
      <c r="O234" s="21">
        <v>0.105</v>
      </c>
      <c r="P234" s="12">
        <v>4.91</v>
      </c>
      <c r="Q234" s="15">
        <v>7.9962537857147096</v>
      </c>
      <c r="R234" s="16">
        <v>7.25</v>
      </c>
      <c r="S234" s="22">
        <v>7.89</v>
      </c>
      <c r="T234" s="23">
        <v>-0.74188785540020152</v>
      </c>
      <c r="U234" s="24">
        <v>63.894300000000001</v>
      </c>
      <c r="V234" s="25">
        <v>15.8775</v>
      </c>
      <c r="W234" s="26">
        <v>24.220000000000006</v>
      </c>
      <c r="X234" s="57">
        <v>33.130000000000003</v>
      </c>
    </row>
    <row r="235" spans="1:24" ht="15.5" x14ac:dyDescent="0.35">
      <c r="A235" s="39">
        <v>234</v>
      </c>
      <c r="B235" s="13" t="s">
        <v>312</v>
      </c>
      <c r="C235" s="19">
        <v>2015</v>
      </c>
      <c r="D235" s="14" t="s">
        <v>36</v>
      </c>
      <c r="E235" s="12">
        <v>320</v>
      </c>
      <c r="F235" s="41">
        <v>400</v>
      </c>
      <c r="G235" s="16">
        <v>18</v>
      </c>
      <c r="H235" s="12">
        <v>13</v>
      </c>
      <c r="I235" s="18">
        <v>0.67210000000000003</v>
      </c>
      <c r="J235" s="19">
        <v>1.4</v>
      </c>
      <c r="K235" s="20">
        <f>(F235*10000000)/E235</f>
        <v>12500000</v>
      </c>
      <c r="L235" s="16">
        <v>3669.2</v>
      </c>
      <c r="M235" s="16">
        <v>299.5</v>
      </c>
      <c r="N235" s="16">
        <v>3504.9</v>
      </c>
      <c r="O235" s="21">
        <v>0.11</v>
      </c>
      <c r="P235" s="12">
        <v>4.91</v>
      </c>
      <c r="Q235" s="15">
        <v>7.9962537857147096</v>
      </c>
      <c r="R235" s="16">
        <v>7.25</v>
      </c>
      <c r="S235" s="22">
        <v>7.89</v>
      </c>
      <c r="T235" s="23">
        <v>-0.41253125354982595</v>
      </c>
      <c r="U235" s="24">
        <v>63.604199999999999</v>
      </c>
      <c r="V235" s="25">
        <v>15.76</v>
      </c>
      <c r="W235" s="26">
        <v>2.421875</v>
      </c>
      <c r="X235" s="52">
        <v>88.96</v>
      </c>
    </row>
    <row r="236" spans="1:24" ht="15.5" x14ac:dyDescent="0.35">
      <c r="A236" s="12">
        <v>235</v>
      </c>
      <c r="B236" s="13" t="s">
        <v>313</v>
      </c>
      <c r="C236" s="19">
        <v>2015</v>
      </c>
      <c r="D236" s="14" t="s">
        <v>27</v>
      </c>
      <c r="E236" s="12">
        <v>378</v>
      </c>
      <c r="F236" s="41">
        <v>488.44</v>
      </c>
      <c r="G236" s="16">
        <v>16</v>
      </c>
      <c r="H236" s="12">
        <v>14</v>
      </c>
      <c r="I236" s="18">
        <v>0.72270000000000001</v>
      </c>
      <c r="J236" s="19">
        <v>1.56</v>
      </c>
      <c r="K236" s="20">
        <f>(F236*10000000)/E236</f>
        <v>12921693.121693121</v>
      </c>
      <c r="L236" s="16">
        <v>15609.8</v>
      </c>
      <c r="M236" s="16">
        <v>1003.6</v>
      </c>
      <c r="N236" s="16">
        <v>16618.7</v>
      </c>
      <c r="O236" s="21">
        <v>1.1000000000000001</v>
      </c>
      <c r="P236" s="12">
        <v>4.91</v>
      </c>
      <c r="Q236" s="15">
        <v>7.9962537857147096</v>
      </c>
      <c r="R236" s="16">
        <v>7.5</v>
      </c>
      <c r="S236" s="22">
        <v>7.89</v>
      </c>
      <c r="T236" s="23">
        <v>-0.36916927212447914</v>
      </c>
      <c r="U236" s="24">
        <v>64.201999999999998</v>
      </c>
      <c r="V236" s="25">
        <v>20.545000000000002</v>
      </c>
      <c r="W236" s="26">
        <v>-4.6296296296296298</v>
      </c>
      <c r="X236" s="57">
        <v>59.1</v>
      </c>
    </row>
    <row r="237" spans="1:24" ht="15.5" x14ac:dyDescent="0.35">
      <c r="A237" s="12">
        <v>236</v>
      </c>
      <c r="B237" s="13" t="s">
        <v>314</v>
      </c>
      <c r="C237" s="19">
        <v>2015</v>
      </c>
      <c r="D237" s="14" t="s">
        <v>137</v>
      </c>
      <c r="E237" s="12">
        <v>625</v>
      </c>
      <c r="F237" s="41">
        <v>600</v>
      </c>
      <c r="G237" s="16">
        <v>11</v>
      </c>
      <c r="H237" s="12">
        <v>14</v>
      </c>
      <c r="I237" s="18">
        <v>0.37769999999999998</v>
      </c>
      <c r="J237" s="19">
        <v>2.04</v>
      </c>
      <c r="K237" s="20">
        <f>(F237*10000000)/E237</f>
        <v>9600000</v>
      </c>
      <c r="L237" s="31">
        <v>3619.6</v>
      </c>
      <c r="M237" s="31">
        <v>318.89999999999998</v>
      </c>
      <c r="N237" s="32">
        <v>5623.4</v>
      </c>
      <c r="O237" s="21">
        <v>0.27</v>
      </c>
      <c r="P237" s="12">
        <v>4.91</v>
      </c>
      <c r="Q237" s="15">
        <v>7.9962537857147096</v>
      </c>
      <c r="R237" s="16">
        <v>7.5</v>
      </c>
      <c r="S237" s="22">
        <v>7.89</v>
      </c>
      <c r="T237" s="23">
        <v>-0.13660218931571788</v>
      </c>
      <c r="U237" s="24">
        <v>63.578000000000003</v>
      </c>
      <c r="V237" s="25">
        <v>17.225000000000001</v>
      </c>
      <c r="W237" s="26">
        <v>-4.4320000000000075</v>
      </c>
      <c r="X237" s="52">
        <v>-12.49</v>
      </c>
    </row>
    <row r="238" spans="1:24" ht="15.5" x14ac:dyDescent="0.35">
      <c r="A238" s="39">
        <v>237</v>
      </c>
      <c r="B238" s="13" t="s">
        <v>315</v>
      </c>
      <c r="C238" s="19">
        <v>2015</v>
      </c>
      <c r="D238" s="14" t="s">
        <v>27</v>
      </c>
      <c r="E238" s="12">
        <v>63</v>
      </c>
      <c r="F238" s="41">
        <v>324</v>
      </c>
      <c r="G238" s="16">
        <v>4</v>
      </c>
      <c r="H238" s="12">
        <v>13</v>
      </c>
      <c r="I238" s="18">
        <v>0.97170000000000001</v>
      </c>
      <c r="J238" s="19">
        <v>1.1100000000000001</v>
      </c>
      <c r="K238" s="20">
        <f>(F238*10000000)/E238</f>
        <v>51428571.428571425</v>
      </c>
      <c r="L238" s="16">
        <v>9072</v>
      </c>
      <c r="M238" s="16">
        <v>161.5</v>
      </c>
      <c r="N238" s="16">
        <v>9538.1</v>
      </c>
      <c r="O238" s="21">
        <v>1.02</v>
      </c>
      <c r="P238" s="12">
        <v>4.91</v>
      </c>
      <c r="Q238" s="15">
        <v>7.9962537857147096</v>
      </c>
      <c r="R238" s="16">
        <v>7.5</v>
      </c>
      <c r="S238" s="22">
        <v>7.89</v>
      </c>
      <c r="T238" s="23">
        <v>-2.7364020757255343</v>
      </c>
      <c r="U238" s="24">
        <v>63.185000000000002</v>
      </c>
      <c r="V238" s="25">
        <v>18.5</v>
      </c>
      <c r="W238" s="26">
        <v>-7.3015873015873032</v>
      </c>
      <c r="X238" s="57">
        <v>-34.92</v>
      </c>
    </row>
    <row r="239" spans="1:24" ht="15.5" x14ac:dyDescent="0.35">
      <c r="A239" s="12">
        <v>238</v>
      </c>
      <c r="B239" s="13" t="s">
        <v>316</v>
      </c>
      <c r="C239" s="19">
        <v>2015</v>
      </c>
      <c r="D239" s="14" t="s">
        <v>27</v>
      </c>
      <c r="E239" s="12">
        <v>205</v>
      </c>
      <c r="F239" s="41" t="s">
        <v>317</v>
      </c>
      <c r="G239" s="16">
        <v>32</v>
      </c>
      <c r="H239" s="12">
        <v>13</v>
      </c>
      <c r="I239" s="18">
        <v>0.77210000000000001</v>
      </c>
      <c r="J239" s="19">
        <v>74.260000000000005</v>
      </c>
      <c r="K239" s="20">
        <f>(473.88*10000000)/205</f>
        <v>23116097.560975611</v>
      </c>
      <c r="L239" s="16">
        <v>16728.3</v>
      </c>
      <c r="M239" s="16">
        <v>912.2</v>
      </c>
      <c r="N239" s="16">
        <v>9583.7999999999993</v>
      </c>
      <c r="O239" s="21">
        <v>1.1599999999999999</v>
      </c>
      <c r="P239" s="12">
        <v>4.91</v>
      </c>
      <c r="Q239" s="15">
        <v>7.9962537857147096</v>
      </c>
      <c r="R239" s="16">
        <v>7.5</v>
      </c>
      <c r="S239" s="22">
        <v>7.89</v>
      </c>
      <c r="T239" s="23">
        <v>-0.70693892411784343</v>
      </c>
      <c r="U239" s="24">
        <v>62.345999999999997</v>
      </c>
      <c r="V239" s="25">
        <v>15.04</v>
      </c>
      <c r="W239" s="26">
        <v>43.463414634146353</v>
      </c>
      <c r="X239" s="52">
        <v>36.28</v>
      </c>
    </row>
    <row r="240" spans="1:24" ht="15.5" x14ac:dyDescent="0.35">
      <c r="A240" s="12">
        <v>239</v>
      </c>
      <c r="B240" s="13" t="s">
        <v>318</v>
      </c>
      <c r="C240" s="19">
        <v>2015</v>
      </c>
      <c r="D240" s="14" t="s">
        <v>27</v>
      </c>
      <c r="E240" s="12">
        <v>325</v>
      </c>
      <c r="F240" s="41">
        <v>1020.52</v>
      </c>
      <c r="G240" s="16">
        <v>6</v>
      </c>
      <c r="H240" s="12">
        <v>20</v>
      </c>
      <c r="I240" s="30">
        <v>1</v>
      </c>
      <c r="J240" s="19">
        <v>18.600000000000001</v>
      </c>
      <c r="K240" s="20">
        <f>(F240*10000000)/E240</f>
        <v>31400615.384615384</v>
      </c>
      <c r="L240" s="16">
        <v>13820.7</v>
      </c>
      <c r="M240" s="16">
        <v>1449.2</v>
      </c>
      <c r="N240" s="16">
        <v>13739.5</v>
      </c>
      <c r="O240" s="21">
        <v>0.09</v>
      </c>
      <c r="P240" s="12">
        <v>4.91</v>
      </c>
      <c r="Q240" s="15">
        <v>7.9962537857147096</v>
      </c>
      <c r="R240" s="16">
        <v>7.5</v>
      </c>
      <c r="S240" s="22">
        <v>7.89</v>
      </c>
      <c r="T240" s="23">
        <v>0.73326683420546368</v>
      </c>
      <c r="U240" s="24">
        <v>62.4923</v>
      </c>
      <c r="V240" s="25">
        <v>14.26</v>
      </c>
      <c r="W240" s="26">
        <v>34.892307692307682</v>
      </c>
      <c r="X240" s="57">
        <v>-44.18</v>
      </c>
    </row>
    <row r="241" spans="1:24" ht="15.5" x14ac:dyDescent="0.35">
      <c r="A241" s="39">
        <v>240</v>
      </c>
      <c r="B241" s="13" t="s">
        <v>319</v>
      </c>
      <c r="C241" s="19">
        <v>2015</v>
      </c>
      <c r="D241" s="14" t="s">
        <v>137</v>
      </c>
      <c r="E241" s="12">
        <v>180</v>
      </c>
      <c r="F241" s="41">
        <v>365.87</v>
      </c>
      <c r="G241" s="16">
        <v>5</v>
      </c>
      <c r="H241" s="12">
        <v>25</v>
      </c>
      <c r="I241" s="18">
        <v>0.77010000000000001</v>
      </c>
      <c r="J241" s="19">
        <v>1.0900000000000001</v>
      </c>
      <c r="K241" s="20">
        <f>(F241*10000000)/E241</f>
        <v>20326111.111111112</v>
      </c>
      <c r="L241" s="16">
        <v>1038.0999999999999</v>
      </c>
      <c r="M241" s="16">
        <v>-527.6</v>
      </c>
      <c r="N241" s="16">
        <v>15223.6</v>
      </c>
      <c r="O241" s="21">
        <v>4.71</v>
      </c>
      <c r="P241" s="12">
        <v>4.91</v>
      </c>
      <c r="Q241" s="15">
        <v>7.9962537857147096</v>
      </c>
      <c r="R241" s="16">
        <v>7.5</v>
      </c>
      <c r="S241" s="22">
        <v>7.89</v>
      </c>
      <c r="T241" s="23">
        <v>0.85777133207161693</v>
      </c>
      <c r="U241" s="24">
        <v>62.566499999999998</v>
      </c>
      <c r="V241" s="25">
        <v>14.75</v>
      </c>
      <c r="W241" s="26">
        <v>6.3888888888888884</v>
      </c>
      <c r="X241" s="29">
        <v>30.89</v>
      </c>
    </row>
    <row r="242" spans="1:24" ht="15.5" x14ac:dyDescent="0.35">
      <c r="A242" s="12">
        <v>241</v>
      </c>
      <c r="B242" s="13" t="s">
        <v>320</v>
      </c>
      <c r="C242" s="19">
        <v>2015</v>
      </c>
      <c r="D242" s="14" t="s">
        <v>137</v>
      </c>
      <c r="E242" s="12">
        <v>181</v>
      </c>
      <c r="F242" s="41" t="s">
        <v>321</v>
      </c>
      <c r="G242" s="16">
        <v>20</v>
      </c>
      <c r="H242" s="12">
        <v>14</v>
      </c>
      <c r="I242" s="18">
        <v>0.64029999999999998</v>
      </c>
      <c r="J242" s="19">
        <v>0.76</v>
      </c>
      <c r="K242" s="20">
        <f>(66.11*10000000)/181</f>
        <v>3652486.1878453037</v>
      </c>
      <c r="L242" s="16">
        <v>1279</v>
      </c>
      <c r="M242" s="16">
        <v>-137.9</v>
      </c>
      <c r="N242" s="16">
        <v>2597.3000000000002</v>
      </c>
      <c r="O242" s="21">
        <v>3.89</v>
      </c>
      <c r="P242" s="12">
        <v>4.91</v>
      </c>
      <c r="Q242" s="15">
        <v>7.9962537857147096</v>
      </c>
      <c r="R242" s="16">
        <v>7.5</v>
      </c>
      <c r="S242" s="22">
        <v>7.89</v>
      </c>
      <c r="T242" s="23">
        <v>-0.59003222463993854</v>
      </c>
      <c r="U242" s="24">
        <v>62.201500000000003</v>
      </c>
      <c r="V242" s="25">
        <v>14.4375</v>
      </c>
      <c r="W242" s="26">
        <v>-10.359116022099448</v>
      </c>
      <c r="X242" s="51">
        <v>0.55000000000000004</v>
      </c>
    </row>
    <row r="243" spans="1:24" ht="15.5" x14ac:dyDescent="0.35">
      <c r="A243" s="12">
        <v>242</v>
      </c>
      <c r="B243" s="13" t="s">
        <v>322</v>
      </c>
      <c r="C243" s="19">
        <v>2014</v>
      </c>
      <c r="D243" s="14" t="s">
        <v>34</v>
      </c>
      <c r="E243" s="12">
        <v>645</v>
      </c>
      <c r="F243" s="41">
        <v>350.43</v>
      </c>
      <c r="G243" s="16">
        <v>30</v>
      </c>
      <c r="H243" s="12">
        <v>14</v>
      </c>
      <c r="I243" s="18">
        <v>0.81059999999999999</v>
      </c>
      <c r="J243" s="19">
        <v>7.83</v>
      </c>
      <c r="K243" s="20">
        <f t="shared" ref="K243:K252" si="11">(F243*10000000)/E243</f>
        <v>5433023.2558139535</v>
      </c>
      <c r="L243" s="31">
        <v>3979.3</v>
      </c>
      <c r="M243" s="31">
        <v>194.1</v>
      </c>
      <c r="N243" s="32">
        <v>2469.1</v>
      </c>
      <c r="O243" s="21">
        <v>0.25</v>
      </c>
      <c r="P243" s="12">
        <v>6.67</v>
      </c>
      <c r="Q243" s="15">
        <v>7.4102276050885401</v>
      </c>
      <c r="R243" s="16">
        <v>8</v>
      </c>
      <c r="S243" s="22">
        <v>7.98</v>
      </c>
      <c r="T243" s="23">
        <v>0.80766971431371881</v>
      </c>
      <c r="U243" s="24">
        <v>61.853499999999997</v>
      </c>
      <c r="V243" s="25">
        <v>11.95</v>
      </c>
      <c r="W243" s="26">
        <v>-12.046511627906984</v>
      </c>
      <c r="X243" s="29">
        <v>-19.28</v>
      </c>
    </row>
    <row r="244" spans="1:24" ht="15.5" x14ac:dyDescent="0.35">
      <c r="A244" s="39">
        <v>243</v>
      </c>
      <c r="B244" s="13" t="s">
        <v>323</v>
      </c>
      <c r="C244" s="19">
        <v>2014</v>
      </c>
      <c r="D244" s="14" t="s">
        <v>137</v>
      </c>
      <c r="E244" s="12">
        <v>170</v>
      </c>
      <c r="F244" s="15">
        <v>120</v>
      </c>
      <c r="G244" s="16">
        <v>52</v>
      </c>
      <c r="H244" s="12">
        <v>13</v>
      </c>
      <c r="I244" s="18">
        <v>0.90139999999999998</v>
      </c>
      <c r="J244" s="12">
        <v>7.39</v>
      </c>
      <c r="K244" s="20">
        <f t="shared" si="11"/>
        <v>7058823.5294117648</v>
      </c>
      <c r="L244" s="16">
        <v>2633.3</v>
      </c>
      <c r="M244" s="16">
        <v>278.39999999999998</v>
      </c>
      <c r="N244" s="16">
        <v>4131.5</v>
      </c>
      <c r="O244" s="21">
        <v>0.08</v>
      </c>
      <c r="P244" s="12">
        <v>6.67</v>
      </c>
      <c r="Q244" s="15">
        <v>7.4102276050885401</v>
      </c>
      <c r="R244" s="16">
        <v>8</v>
      </c>
      <c r="S244" s="22">
        <v>7.98</v>
      </c>
      <c r="T244" s="23">
        <v>-0.24169087736039238</v>
      </c>
      <c r="U244" s="24">
        <v>61.055799999999998</v>
      </c>
      <c r="V244" s="25">
        <v>12.324999999999999</v>
      </c>
      <c r="W244" s="26">
        <v>0.58823529411764708</v>
      </c>
      <c r="X244" s="57">
        <v>72.459999999999994</v>
      </c>
    </row>
    <row r="245" spans="1:24" ht="15.5" x14ac:dyDescent="0.35">
      <c r="A245" s="12">
        <v>244</v>
      </c>
      <c r="B245" s="13" t="s">
        <v>324</v>
      </c>
      <c r="C245" s="19">
        <v>2014</v>
      </c>
      <c r="D245" s="14" t="s">
        <v>25</v>
      </c>
      <c r="E245" s="12">
        <v>156</v>
      </c>
      <c r="F245" s="41">
        <v>351.86</v>
      </c>
      <c r="G245" s="16">
        <v>10</v>
      </c>
      <c r="H245" s="12">
        <v>14</v>
      </c>
      <c r="I245" s="18">
        <v>0.84130000000000005</v>
      </c>
      <c r="J245" s="19">
        <v>59.97</v>
      </c>
      <c r="K245" s="20">
        <f t="shared" si="11"/>
        <v>22555128.205128204</v>
      </c>
      <c r="L245" s="16">
        <v>5406.3</v>
      </c>
      <c r="M245" s="16">
        <v>886.6</v>
      </c>
      <c r="N245" s="16">
        <v>7848.7</v>
      </c>
      <c r="O245" s="39">
        <v>0.08</v>
      </c>
      <c r="P245" s="12">
        <v>6.67</v>
      </c>
      <c r="Q245" s="15">
        <v>7.4102276050885401</v>
      </c>
      <c r="R245" s="16">
        <v>8</v>
      </c>
      <c r="S245" s="22">
        <v>7.98</v>
      </c>
      <c r="T245" s="23">
        <v>-1.5804745099002067</v>
      </c>
      <c r="U245" s="24">
        <v>60.427700000000002</v>
      </c>
      <c r="V245" s="25">
        <v>12.7575</v>
      </c>
      <c r="W245" s="26">
        <v>48.044871794871788</v>
      </c>
      <c r="X245" s="52">
        <v>20.2</v>
      </c>
    </row>
    <row r="246" spans="1:24" ht="15.5" x14ac:dyDescent="0.35">
      <c r="A246" s="12">
        <v>245</v>
      </c>
      <c r="B246" s="13" t="s">
        <v>325</v>
      </c>
      <c r="C246" s="19">
        <v>2014</v>
      </c>
      <c r="D246" s="14" t="s">
        <v>27</v>
      </c>
      <c r="E246" s="12">
        <v>47</v>
      </c>
      <c r="F246" s="15">
        <v>197.4</v>
      </c>
      <c r="G246" s="16">
        <v>21</v>
      </c>
      <c r="H246" s="12">
        <v>15</v>
      </c>
      <c r="I246" s="18">
        <v>0.54039999999999999</v>
      </c>
      <c r="J246" s="19">
        <v>59.75</v>
      </c>
      <c r="K246" s="20">
        <f t="shared" si="11"/>
        <v>42000000</v>
      </c>
      <c r="L246" s="16">
        <v>1534</v>
      </c>
      <c r="M246" s="16">
        <v>224.8</v>
      </c>
      <c r="N246" s="16">
        <v>4662</v>
      </c>
      <c r="O246" s="21">
        <v>0.46</v>
      </c>
      <c r="P246" s="12">
        <v>6.67</v>
      </c>
      <c r="Q246" s="15">
        <v>7.4102276050885401</v>
      </c>
      <c r="R246" s="16">
        <v>8</v>
      </c>
      <c r="S246" s="22">
        <v>7.98</v>
      </c>
      <c r="T246" s="23">
        <v>0.24487675773278977</v>
      </c>
      <c r="U246" s="24">
        <v>60.474499999999999</v>
      </c>
      <c r="V246" s="25">
        <v>13.067500000000001</v>
      </c>
      <c r="W246" s="26">
        <v>69.78723404255318</v>
      </c>
      <c r="X246" s="57">
        <v>24.62</v>
      </c>
    </row>
    <row r="247" spans="1:24" ht="15.5" x14ac:dyDescent="0.35">
      <c r="A247" s="39">
        <v>246</v>
      </c>
      <c r="B247" s="13" t="s">
        <v>326</v>
      </c>
      <c r="C247" s="19">
        <v>2014</v>
      </c>
      <c r="D247" s="14" t="s">
        <v>34</v>
      </c>
      <c r="E247" s="12">
        <v>125</v>
      </c>
      <c r="F247" s="41">
        <v>181.25</v>
      </c>
      <c r="G247" s="16">
        <v>12</v>
      </c>
      <c r="H247" s="12">
        <v>16</v>
      </c>
      <c r="I247" s="18">
        <v>0.95479999999999998</v>
      </c>
      <c r="J247" s="19">
        <v>38.06</v>
      </c>
      <c r="K247" s="20">
        <f t="shared" si="11"/>
        <v>14500000</v>
      </c>
      <c r="L247" s="16">
        <v>1542.6</v>
      </c>
      <c r="M247" s="16">
        <v>398.9</v>
      </c>
      <c r="N247" s="16">
        <v>2011.5</v>
      </c>
      <c r="O247" s="21">
        <v>0.12</v>
      </c>
      <c r="P247" s="12">
        <v>6.67</v>
      </c>
      <c r="Q247" s="15">
        <v>7.4102276050885401</v>
      </c>
      <c r="R247" s="16">
        <v>8</v>
      </c>
      <c r="S247" s="22">
        <v>7.98</v>
      </c>
      <c r="T247" s="23">
        <v>-0.11240066947053687</v>
      </c>
      <c r="U247" s="24">
        <v>61.068300000000001</v>
      </c>
      <c r="V247" s="25">
        <v>31.1325</v>
      </c>
      <c r="W247" s="26">
        <v>26.240000000000009</v>
      </c>
      <c r="X247" s="52">
        <v>74.400000000000006</v>
      </c>
    </row>
    <row r="248" spans="1:24" ht="15.5" x14ac:dyDescent="0.35">
      <c r="A248" s="12">
        <v>247</v>
      </c>
      <c r="B248" s="13" t="s">
        <v>327</v>
      </c>
      <c r="C248" s="19">
        <v>2013</v>
      </c>
      <c r="D248" s="14" t="s">
        <v>137</v>
      </c>
      <c r="E248" s="12">
        <v>530</v>
      </c>
      <c r="F248" s="41">
        <v>919.14</v>
      </c>
      <c r="G248" s="16">
        <v>17</v>
      </c>
      <c r="H248" s="12">
        <v>13</v>
      </c>
      <c r="I248" s="18">
        <v>0.3715</v>
      </c>
      <c r="J248" s="19">
        <v>11.63</v>
      </c>
      <c r="K248" s="20">
        <f t="shared" si="11"/>
        <v>17342264.150943395</v>
      </c>
      <c r="L248" s="16">
        <v>3627.7</v>
      </c>
      <c r="M248" s="16">
        <v>684.6</v>
      </c>
      <c r="N248" s="16">
        <v>6864.3</v>
      </c>
      <c r="O248" s="21">
        <v>0</v>
      </c>
      <c r="P248" s="12">
        <v>11.06</v>
      </c>
      <c r="Q248" s="15">
        <v>6.3861064009482504</v>
      </c>
      <c r="R248" s="16">
        <v>8</v>
      </c>
      <c r="S248" s="22">
        <v>8.06</v>
      </c>
      <c r="T248" s="23">
        <v>7.4332885656607811E-2</v>
      </c>
      <c r="U248" s="24">
        <v>55.521999999999998</v>
      </c>
      <c r="V248" s="25">
        <v>17.72</v>
      </c>
      <c r="W248" s="26">
        <v>15.537735849056608</v>
      </c>
      <c r="X248" s="57">
        <v>113.29</v>
      </c>
    </row>
    <row r="249" spans="1:24" ht="15.5" x14ac:dyDescent="0.35">
      <c r="A249" s="12">
        <v>248</v>
      </c>
      <c r="B249" s="13" t="s">
        <v>328</v>
      </c>
      <c r="C249" s="19">
        <v>2013</v>
      </c>
      <c r="D249" s="14" t="s">
        <v>32</v>
      </c>
      <c r="E249" s="12">
        <v>172</v>
      </c>
      <c r="F249" s="41">
        <v>270.39</v>
      </c>
      <c r="G249" s="16">
        <v>13</v>
      </c>
      <c r="H249" s="12">
        <v>17</v>
      </c>
      <c r="I249" s="18">
        <v>0.50019999999999998</v>
      </c>
      <c r="J249" s="19">
        <v>1.65</v>
      </c>
      <c r="K249" s="20">
        <f t="shared" si="11"/>
        <v>15720348.837209303</v>
      </c>
      <c r="L249" s="12">
        <v>3188.15</v>
      </c>
      <c r="M249" s="16">
        <v>614.6</v>
      </c>
      <c r="N249" s="16">
        <v>28528.5</v>
      </c>
      <c r="O249" s="21">
        <v>8.27</v>
      </c>
      <c r="P249" s="12">
        <v>11.06</v>
      </c>
      <c r="Q249" s="15">
        <v>6.3861064009482504</v>
      </c>
      <c r="R249" s="16">
        <v>8</v>
      </c>
      <c r="S249" s="22">
        <v>8.06</v>
      </c>
      <c r="T249" s="23">
        <v>0.38450875047293781</v>
      </c>
      <c r="U249" s="24">
        <v>54.160499999999999</v>
      </c>
      <c r="V249" s="25">
        <v>15.16</v>
      </c>
      <c r="W249" s="26">
        <v>-5.9302325581395285</v>
      </c>
      <c r="X249" s="52">
        <v>106.24</v>
      </c>
    </row>
    <row r="250" spans="1:24" ht="15.5" x14ac:dyDescent="0.35">
      <c r="A250" s="39">
        <v>249</v>
      </c>
      <c r="B250" s="13" t="s">
        <v>329</v>
      </c>
      <c r="C250" s="19">
        <v>2013</v>
      </c>
      <c r="D250" s="14" t="s">
        <v>34</v>
      </c>
      <c r="E250" s="12">
        <v>210</v>
      </c>
      <c r="F250" s="41">
        <v>94.42</v>
      </c>
      <c r="G250" s="16">
        <v>11</v>
      </c>
      <c r="H250" s="12">
        <v>15</v>
      </c>
      <c r="I250" s="18">
        <v>0.69510000000000005</v>
      </c>
      <c r="J250" s="19">
        <v>1.2</v>
      </c>
      <c r="K250" s="20">
        <f t="shared" si="11"/>
        <v>4496190.4761904757</v>
      </c>
      <c r="L250" s="31">
        <v>5331.4</v>
      </c>
      <c r="M250" s="31">
        <v>129.30000000000001</v>
      </c>
      <c r="N250" s="32">
        <v>3269.7</v>
      </c>
      <c r="O250" s="21">
        <v>0.04</v>
      </c>
      <c r="P250" s="12">
        <v>11.06</v>
      </c>
      <c r="Q250" s="15">
        <v>6.3861064009482504</v>
      </c>
      <c r="R250" s="16">
        <v>8</v>
      </c>
      <c r="S250" s="22">
        <v>8.06</v>
      </c>
      <c r="T250" s="23">
        <v>5.6396871895884187E-2</v>
      </c>
      <c r="U250" s="24">
        <v>53.294499999999999</v>
      </c>
      <c r="V250" s="25">
        <v>14.61</v>
      </c>
      <c r="W250" s="26">
        <v>-3.1904761904761854</v>
      </c>
      <c r="X250" s="57">
        <v>37.19</v>
      </c>
    </row>
    <row r="251" spans="1:24" ht="15.5" x14ac:dyDescent="0.35">
      <c r="A251" s="12">
        <v>250</v>
      </c>
      <c r="B251" s="13" t="s">
        <v>330</v>
      </c>
      <c r="C251" s="19">
        <v>2012</v>
      </c>
      <c r="D251" s="14" t="s">
        <v>137</v>
      </c>
      <c r="E251" s="12">
        <v>220</v>
      </c>
      <c r="F251" s="41">
        <v>4155.8</v>
      </c>
      <c r="G251" s="16">
        <v>6</v>
      </c>
      <c r="H251" s="12">
        <v>14</v>
      </c>
      <c r="I251" s="18">
        <v>0.8609</v>
      </c>
      <c r="J251" s="19">
        <v>1.3</v>
      </c>
      <c r="K251" s="20">
        <f t="shared" si="11"/>
        <v>188900000</v>
      </c>
      <c r="L251" s="16">
        <v>41582</v>
      </c>
      <c r="M251" s="16">
        <v>3570</v>
      </c>
      <c r="N251" s="16">
        <v>180798</v>
      </c>
      <c r="O251" s="39">
        <v>0.01</v>
      </c>
      <c r="P251" s="12">
        <v>9.31</v>
      </c>
      <c r="Q251" s="15">
        <v>5.4563887529736501</v>
      </c>
      <c r="R251" s="16">
        <v>8</v>
      </c>
      <c r="S251" s="22">
        <v>8.14</v>
      </c>
      <c r="T251" s="23">
        <v>0.65160896747925123</v>
      </c>
      <c r="U251" s="24">
        <v>54.387999999999998</v>
      </c>
      <c r="V251" s="25">
        <v>14.23</v>
      </c>
      <c r="W251" s="26">
        <v>-12.886363636363635</v>
      </c>
      <c r="X251" s="52">
        <v>59.09</v>
      </c>
    </row>
    <row r="252" spans="1:24" ht="15.5" x14ac:dyDescent="0.35">
      <c r="A252" s="12">
        <v>251</v>
      </c>
      <c r="B252" s="13" t="s">
        <v>331</v>
      </c>
      <c r="C252" s="19">
        <v>2012</v>
      </c>
      <c r="D252" s="14" t="s">
        <v>34</v>
      </c>
      <c r="E252" s="12">
        <v>135</v>
      </c>
      <c r="F252" s="41">
        <v>609.29999999999995</v>
      </c>
      <c r="G252" s="16">
        <v>7</v>
      </c>
      <c r="H252" s="12">
        <v>15</v>
      </c>
      <c r="I252" s="18">
        <v>0.93610000000000004</v>
      </c>
      <c r="J252" s="19">
        <v>6.85</v>
      </c>
      <c r="K252" s="20">
        <f t="shared" si="11"/>
        <v>45133333.333333336</v>
      </c>
      <c r="L252" s="16">
        <v>30419.3</v>
      </c>
      <c r="M252" s="16">
        <v>2312.9</v>
      </c>
      <c r="N252" s="16">
        <v>21285.1</v>
      </c>
      <c r="O252" s="39">
        <v>0.42</v>
      </c>
      <c r="P252" s="12">
        <v>9.31</v>
      </c>
      <c r="Q252" s="15">
        <v>5.4563887529736501</v>
      </c>
      <c r="R252" s="16">
        <v>8</v>
      </c>
      <c r="S252" s="22">
        <v>8.14</v>
      </c>
      <c r="T252" s="23">
        <v>-0.59371637686362377</v>
      </c>
      <c r="U252" s="24">
        <v>54.272500000000001</v>
      </c>
      <c r="V252" s="25">
        <v>14.51</v>
      </c>
      <c r="W252" s="26">
        <v>10.51851851851851</v>
      </c>
      <c r="X252" s="57">
        <v>-41.19</v>
      </c>
    </row>
    <row r="253" spans="1:24" ht="15.5" x14ac:dyDescent="0.35">
      <c r="A253" s="39">
        <v>252</v>
      </c>
      <c r="B253" s="13" t="s">
        <v>332</v>
      </c>
      <c r="C253" s="19">
        <v>2012</v>
      </c>
      <c r="D253" s="14" t="s">
        <v>32</v>
      </c>
      <c r="E253" s="12">
        <v>750</v>
      </c>
      <c r="F253" s="41" t="s">
        <v>333</v>
      </c>
      <c r="G253" s="16">
        <v>19</v>
      </c>
      <c r="H253" s="12">
        <v>15</v>
      </c>
      <c r="I253" s="30">
        <v>0.68</v>
      </c>
      <c r="J253" s="19">
        <v>40.98</v>
      </c>
      <c r="K253" s="20">
        <f>(539.98*10000000)/750</f>
        <v>7199733.333333333</v>
      </c>
      <c r="L253" s="16">
        <v>1780.8</v>
      </c>
      <c r="M253" s="16">
        <v>1075.4000000000001</v>
      </c>
      <c r="N253" s="16">
        <v>5479.9</v>
      </c>
      <c r="O253" s="39">
        <v>0</v>
      </c>
      <c r="P253" s="12">
        <v>9.31</v>
      </c>
      <c r="Q253" s="15">
        <v>5.4563887529736501</v>
      </c>
      <c r="R253" s="16">
        <v>8</v>
      </c>
      <c r="S253" s="22">
        <v>8.14</v>
      </c>
      <c r="T253" s="23">
        <v>0.85130167783802058</v>
      </c>
      <c r="U253" s="24">
        <v>54.316000000000003</v>
      </c>
      <c r="V253" s="25">
        <v>14.67</v>
      </c>
      <c r="W253" s="26">
        <v>23.006666666666661</v>
      </c>
      <c r="X253" s="52">
        <v>-3.47</v>
      </c>
    </row>
    <row r="254" spans="1:24" ht="15.5" x14ac:dyDescent="0.35">
      <c r="A254" s="12">
        <v>253</v>
      </c>
      <c r="B254" s="13" t="s">
        <v>334</v>
      </c>
      <c r="C254" s="19">
        <v>2012</v>
      </c>
      <c r="D254" s="14" t="s">
        <v>34</v>
      </c>
      <c r="E254" s="12">
        <v>230</v>
      </c>
      <c r="F254" s="41">
        <v>183.49</v>
      </c>
      <c r="G254" s="16">
        <v>11</v>
      </c>
      <c r="H254" s="12">
        <v>13</v>
      </c>
      <c r="I254" s="18">
        <v>0.74550000000000005</v>
      </c>
      <c r="J254" s="19">
        <v>1.98</v>
      </c>
      <c r="K254" s="20">
        <f t="shared" ref="K254:K270" si="12">(F254*10000000)/E254</f>
        <v>7977826.0869565215</v>
      </c>
      <c r="L254" s="16">
        <v>11977.5</v>
      </c>
      <c r="M254" s="16">
        <v>507.2</v>
      </c>
      <c r="N254" s="16">
        <v>8979.5</v>
      </c>
      <c r="O254" s="39">
        <v>1.35</v>
      </c>
      <c r="P254" s="12">
        <v>9.31</v>
      </c>
      <c r="Q254" s="15">
        <v>5.4563887529736501</v>
      </c>
      <c r="R254" s="16">
        <v>8</v>
      </c>
      <c r="S254" s="22">
        <v>8.14</v>
      </c>
      <c r="T254" s="23">
        <v>0.51520891449877315</v>
      </c>
      <c r="U254" s="24">
        <v>55.344499999999996</v>
      </c>
      <c r="V254" s="25">
        <v>14.68</v>
      </c>
      <c r="W254" s="26">
        <v>-4.3478260869562746E-2</v>
      </c>
      <c r="X254" s="52">
        <v>-62.42</v>
      </c>
    </row>
    <row r="255" spans="1:24" ht="15.5" x14ac:dyDescent="0.35">
      <c r="A255" s="12">
        <v>254</v>
      </c>
      <c r="B255" s="13" t="s">
        <v>335</v>
      </c>
      <c r="C255" s="19">
        <v>2012</v>
      </c>
      <c r="D255" s="14" t="s">
        <v>27</v>
      </c>
      <c r="E255" s="12">
        <v>55</v>
      </c>
      <c r="F255" s="41">
        <v>55</v>
      </c>
      <c r="G255" s="16">
        <v>14</v>
      </c>
      <c r="H255" s="12">
        <v>14</v>
      </c>
      <c r="I255" s="30">
        <v>1</v>
      </c>
      <c r="J255" s="19">
        <v>1.03</v>
      </c>
      <c r="K255" s="20">
        <f t="shared" si="12"/>
        <v>10000000</v>
      </c>
      <c r="L255" s="16">
        <v>1440.8</v>
      </c>
      <c r="M255" s="16">
        <v>56.2</v>
      </c>
      <c r="N255" s="16">
        <v>632.5</v>
      </c>
      <c r="O255" s="39">
        <v>1.32</v>
      </c>
      <c r="P255" s="12">
        <v>9.31</v>
      </c>
      <c r="Q255" s="15">
        <v>5.4563887529736501</v>
      </c>
      <c r="R255" s="16">
        <v>8</v>
      </c>
      <c r="S255" s="22">
        <v>8.14</v>
      </c>
      <c r="T255" s="23">
        <v>0.45157870918665644</v>
      </c>
      <c r="U255" s="24">
        <v>54.552500000000002</v>
      </c>
      <c r="V255" s="25">
        <v>18.27</v>
      </c>
      <c r="W255" s="26">
        <v>0</v>
      </c>
      <c r="X255" s="21">
        <v>253.5</v>
      </c>
    </row>
    <row r="256" spans="1:24" ht="15.5" x14ac:dyDescent="0.35">
      <c r="A256" s="39">
        <v>255</v>
      </c>
      <c r="B256" s="13" t="s">
        <v>336</v>
      </c>
      <c r="C256" s="19">
        <v>2012</v>
      </c>
      <c r="D256" s="14" t="s">
        <v>34</v>
      </c>
      <c r="E256" s="12">
        <v>150</v>
      </c>
      <c r="F256" s="41">
        <v>176.09</v>
      </c>
      <c r="G256" s="16">
        <v>20</v>
      </c>
      <c r="H256" s="12">
        <v>12</v>
      </c>
      <c r="I256" s="18">
        <v>0.80920000000000003</v>
      </c>
      <c r="J256" s="19">
        <v>2.54</v>
      </c>
      <c r="K256" s="20">
        <f t="shared" si="12"/>
        <v>11739333.333333334</v>
      </c>
      <c r="L256" s="16">
        <v>1962.3</v>
      </c>
      <c r="M256" s="16">
        <v>172.4</v>
      </c>
      <c r="N256" s="16">
        <v>1729.5</v>
      </c>
      <c r="O256" s="21"/>
      <c r="P256" s="12">
        <v>9.31</v>
      </c>
      <c r="Q256" s="15">
        <v>5.4563887529736501</v>
      </c>
      <c r="R256" s="16">
        <v>8</v>
      </c>
      <c r="S256" s="22">
        <v>8.14</v>
      </c>
      <c r="T256" s="23">
        <v>-0.78856135147592954</v>
      </c>
      <c r="U256" s="24">
        <v>54.875500000000002</v>
      </c>
      <c r="V256" s="25">
        <v>23.55</v>
      </c>
      <c r="W256" s="26">
        <v>6.3999999999999959</v>
      </c>
      <c r="X256" s="21">
        <v>13.33</v>
      </c>
    </row>
    <row r="257" spans="1:24" ht="15.5" x14ac:dyDescent="0.35">
      <c r="A257" s="12">
        <v>256</v>
      </c>
      <c r="B257" s="13" t="s">
        <v>337</v>
      </c>
      <c r="C257" s="19">
        <v>2012</v>
      </c>
      <c r="D257" s="14" t="s">
        <v>34</v>
      </c>
      <c r="E257" s="12">
        <v>120</v>
      </c>
      <c r="F257" s="41">
        <v>200</v>
      </c>
      <c r="G257" s="16">
        <v>63</v>
      </c>
      <c r="H257" s="12">
        <v>13</v>
      </c>
      <c r="I257" s="18">
        <v>0.98899999999999999</v>
      </c>
      <c r="J257" s="19">
        <v>1.1499999999999999</v>
      </c>
      <c r="K257" s="20">
        <f t="shared" si="12"/>
        <v>16666666.666666666</v>
      </c>
      <c r="L257" s="16">
        <v>13814.7</v>
      </c>
      <c r="M257" s="16">
        <v>579.79999999999995</v>
      </c>
      <c r="N257" s="16">
        <v>5840.7</v>
      </c>
      <c r="O257" s="39">
        <v>1.1000000000000001</v>
      </c>
      <c r="P257" s="12">
        <v>9.31</v>
      </c>
      <c r="Q257" s="15">
        <v>5.4563887529736501</v>
      </c>
      <c r="R257" s="16">
        <v>8</v>
      </c>
      <c r="S257" s="22">
        <v>8.14</v>
      </c>
      <c r="T257" s="23">
        <v>-0.50300893008930425</v>
      </c>
      <c r="U257" s="24">
        <v>52.567</v>
      </c>
      <c r="V257" s="25">
        <v>18.739999999999998</v>
      </c>
      <c r="W257" s="26">
        <v>-7.5</v>
      </c>
      <c r="X257" s="45">
        <v>79.17</v>
      </c>
    </row>
    <row r="258" spans="1:24" ht="15.5" x14ac:dyDescent="0.35">
      <c r="A258" s="12">
        <v>257</v>
      </c>
      <c r="B258" s="13" t="s">
        <v>338</v>
      </c>
      <c r="C258" s="19">
        <v>2012</v>
      </c>
      <c r="D258" s="14" t="s">
        <v>137</v>
      </c>
      <c r="E258" s="12">
        <v>80</v>
      </c>
      <c r="F258" s="41">
        <v>99</v>
      </c>
      <c r="G258" s="16">
        <v>6</v>
      </c>
      <c r="H258" s="12">
        <v>14</v>
      </c>
      <c r="I258" s="18">
        <v>0.48209999999999997</v>
      </c>
      <c r="J258" s="19">
        <v>4.8</v>
      </c>
      <c r="K258" s="20">
        <f t="shared" si="12"/>
        <v>12375000</v>
      </c>
      <c r="L258" s="16">
        <v>1117.8</v>
      </c>
      <c r="M258" s="16">
        <v>82.6</v>
      </c>
      <c r="N258" s="16">
        <v>1124.2</v>
      </c>
      <c r="O258" s="39">
        <v>0</v>
      </c>
      <c r="P258" s="12">
        <v>9.31</v>
      </c>
      <c r="Q258" s="15">
        <v>5.4563887529736501</v>
      </c>
      <c r="R258" s="16">
        <v>8.5</v>
      </c>
      <c r="S258" s="22">
        <v>8.14</v>
      </c>
      <c r="T258" s="23">
        <v>0.95660097381787357</v>
      </c>
      <c r="U258" s="24">
        <v>51.145000000000003</v>
      </c>
      <c r="V258" s="25">
        <v>24.33</v>
      </c>
      <c r="W258" s="26">
        <v>12.937499999999993</v>
      </c>
      <c r="X258" s="45">
        <v>6.25</v>
      </c>
    </row>
    <row r="259" spans="1:24" ht="15.5" x14ac:dyDescent="0.35">
      <c r="A259" s="39">
        <v>258</v>
      </c>
      <c r="B259" s="13" t="s">
        <v>339</v>
      </c>
      <c r="C259" s="19">
        <v>2012</v>
      </c>
      <c r="D259" s="14" t="s">
        <v>27</v>
      </c>
      <c r="E259" s="12">
        <v>106</v>
      </c>
      <c r="F259" s="41">
        <v>127.2</v>
      </c>
      <c r="G259" s="16">
        <v>52</v>
      </c>
      <c r="H259" s="12">
        <v>16</v>
      </c>
      <c r="I259" s="30">
        <v>0.2</v>
      </c>
      <c r="J259" s="19">
        <v>4.93</v>
      </c>
      <c r="K259" s="20">
        <f t="shared" si="12"/>
        <v>12000000</v>
      </c>
      <c r="L259" s="16">
        <v>29824.9</v>
      </c>
      <c r="M259" s="16">
        <v>1403.4</v>
      </c>
      <c r="N259" s="16">
        <v>34862.9</v>
      </c>
      <c r="O259" s="39">
        <v>0</v>
      </c>
      <c r="P259" s="12">
        <v>9.31</v>
      </c>
      <c r="Q259" s="15">
        <v>5.4563887529736501</v>
      </c>
      <c r="R259" s="16">
        <v>8.5</v>
      </c>
      <c r="S259" s="22">
        <v>8.14</v>
      </c>
      <c r="T259" s="23">
        <v>0.95660097381787357</v>
      </c>
      <c r="U259" s="24">
        <v>50.908299999999997</v>
      </c>
      <c r="V259" s="25">
        <v>25.05</v>
      </c>
      <c r="W259" s="26">
        <v>-8.5377358490566007</v>
      </c>
      <c r="X259" s="45">
        <v>34.909999999999997</v>
      </c>
    </row>
    <row r="260" spans="1:24" ht="15.5" x14ac:dyDescent="0.35">
      <c r="A260" s="12">
        <v>259</v>
      </c>
      <c r="B260" s="13" t="s">
        <v>340</v>
      </c>
      <c r="C260" s="19">
        <v>2012</v>
      </c>
      <c r="D260" s="14" t="s">
        <v>34</v>
      </c>
      <c r="E260" s="12">
        <v>30</v>
      </c>
      <c r="F260" s="41">
        <v>25</v>
      </c>
      <c r="G260" s="16">
        <v>51</v>
      </c>
      <c r="H260" s="12">
        <v>15</v>
      </c>
      <c r="I260" s="18">
        <v>0.94350000000000001</v>
      </c>
      <c r="J260" s="19">
        <v>0.99</v>
      </c>
      <c r="K260" s="20">
        <f t="shared" si="12"/>
        <v>8333333.333333333</v>
      </c>
      <c r="L260" s="16">
        <v>385.5</v>
      </c>
      <c r="M260" s="16">
        <v>21.9</v>
      </c>
      <c r="N260" s="16">
        <v>402</v>
      </c>
      <c r="O260" s="39">
        <v>0.48</v>
      </c>
      <c r="P260" s="12">
        <v>9.31</v>
      </c>
      <c r="Q260" s="15">
        <v>5.4563887529736501</v>
      </c>
      <c r="R260" s="16">
        <v>8.5</v>
      </c>
      <c r="S260" s="22">
        <v>8.14</v>
      </c>
      <c r="T260" s="23">
        <v>-0.9231091996223576</v>
      </c>
      <c r="U260" s="24">
        <v>49.844999999999999</v>
      </c>
      <c r="V260" s="25">
        <v>24.75</v>
      </c>
      <c r="W260" s="26">
        <v>-5</v>
      </c>
      <c r="X260" s="45">
        <v>96.67</v>
      </c>
    </row>
    <row r="261" spans="1:24" ht="15.5" x14ac:dyDescent="0.35">
      <c r="A261" s="12">
        <v>260</v>
      </c>
      <c r="B261" s="13" t="s">
        <v>341</v>
      </c>
      <c r="C261" s="19">
        <v>2012</v>
      </c>
      <c r="D261" s="14" t="s">
        <v>32</v>
      </c>
      <c r="E261" s="12">
        <v>1032</v>
      </c>
      <c r="F261" s="41">
        <v>663.31</v>
      </c>
      <c r="G261" s="16">
        <v>9</v>
      </c>
      <c r="H261" s="12">
        <v>14</v>
      </c>
      <c r="I261" s="18">
        <v>0.31180000000000002</v>
      </c>
      <c r="J261" s="19">
        <v>54.13</v>
      </c>
      <c r="K261" s="20">
        <f t="shared" si="12"/>
        <v>6427422.4806201542</v>
      </c>
      <c r="L261" s="16">
        <v>104.8</v>
      </c>
      <c r="M261" s="16">
        <v>1728.2</v>
      </c>
      <c r="N261" s="16">
        <v>15221.7</v>
      </c>
      <c r="O261" s="39">
        <v>0</v>
      </c>
      <c r="P261" s="12">
        <v>9.31</v>
      </c>
      <c r="Q261" s="15">
        <v>5.4563887529736501</v>
      </c>
      <c r="R261" s="16">
        <v>8.5</v>
      </c>
      <c r="S261" s="22">
        <v>8.14</v>
      </c>
      <c r="T261" s="23">
        <v>2.1664761658477687</v>
      </c>
      <c r="U261" s="24">
        <v>49.064999999999998</v>
      </c>
      <c r="V261" s="25">
        <v>24.82</v>
      </c>
      <c r="W261" s="26">
        <v>25.649224806201552</v>
      </c>
      <c r="X261" s="21">
        <v>-25.52</v>
      </c>
    </row>
    <row r="262" spans="1:24" ht="15.5" x14ac:dyDescent="0.35">
      <c r="A262" s="39">
        <v>261</v>
      </c>
      <c r="B262" s="13" t="s">
        <v>342</v>
      </c>
      <c r="C262" s="19">
        <v>2011</v>
      </c>
      <c r="D262" s="14" t="s">
        <v>32</v>
      </c>
      <c r="E262" s="12">
        <v>74</v>
      </c>
      <c r="F262" s="15">
        <v>29.6</v>
      </c>
      <c r="G262" s="16">
        <v>16</v>
      </c>
      <c r="H262" s="12">
        <v>28</v>
      </c>
      <c r="I262" s="18">
        <v>0.84909999999999997</v>
      </c>
      <c r="J262" s="12">
        <v>1.18</v>
      </c>
      <c r="K262" s="20">
        <f t="shared" si="12"/>
        <v>4000000</v>
      </c>
      <c r="L262" s="16">
        <v>5.9</v>
      </c>
      <c r="M262" s="16">
        <v>10.7</v>
      </c>
      <c r="N262" s="16">
        <v>140.9</v>
      </c>
      <c r="O262" s="21">
        <v>0.05</v>
      </c>
      <c r="P262" s="12">
        <v>8.86</v>
      </c>
      <c r="Q262" s="15">
        <v>5.2413150014066296</v>
      </c>
      <c r="R262" s="16">
        <v>8.5</v>
      </c>
      <c r="S262" s="22">
        <v>8.2200000000000006</v>
      </c>
      <c r="T262" s="23">
        <v>9.5094095607603721E-3</v>
      </c>
      <c r="U262" s="24">
        <v>49.191800000000001</v>
      </c>
      <c r="V262" s="25">
        <v>35.369999999999997</v>
      </c>
      <c r="W262" s="26">
        <v>-68.716216216216225</v>
      </c>
      <c r="X262" s="45">
        <v>-48.38</v>
      </c>
    </row>
    <row r="263" spans="1:24" ht="15.5" x14ac:dyDescent="0.35">
      <c r="A263" s="12">
        <v>262</v>
      </c>
      <c r="B263" s="13" t="s">
        <v>343</v>
      </c>
      <c r="C263" s="19">
        <v>2011</v>
      </c>
      <c r="D263" s="14" t="s">
        <v>25</v>
      </c>
      <c r="E263" s="12">
        <v>155</v>
      </c>
      <c r="F263" s="15">
        <v>104.63</v>
      </c>
      <c r="G263" s="16">
        <v>45</v>
      </c>
      <c r="H263" s="12">
        <v>14</v>
      </c>
      <c r="I263" s="18">
        <v>0.32750000000000001</v>
      </c>
      <c r="J263" s="19">
        <v>1.17</v>
      </c>
      <c r="K263" s="20">
        <f t="shared" si="12"/>
        <v>6750322.5806451617</v>
      </c>
      <c r="L263" s="16">
        <v>4958.8999999999996</v>
      </c>
      <c r="M263" s="16">
        <v>274.39999999999998</v>
      </c>
      <c r="N263" s="16">
        <v>6077.4</v>
      </c>
      <c r="O263" s="21">
        <v>1.79</v>
      </c>
      <c r="P263" s="12">
        <v>8.86</v>
      </c>
      <c r="Q263" s="15">
        <v>5.2413150014066296</v>
      </c>
      <c r="R263" s="16">
        <v>8.25</v>
      </c>
      <c r="S263" s="22">
        <v>8.2200000000000006</v>
      </c>
      <c r="T263" s="23">
        <v>2.0178660049627721</v>
      </c>
      <c r="U263" s="24">
        <v>49.191800000000001</v>
      </c>
      <c r="V263" s="25">
        <v>35.369999999999997</v>
      </c>
      <c r="W263" s="26">
        <v>6.8064516129032331</v>
      </c>
      <c r="X263" s="45">
        <v>14.92</v>
      </c>
    </row>
    <row r="264" spans="1:24" ht="15.5" x14ac:dyDescent="0.35">
      <c r="A264" s="12">
        <v>263</v>
      </c>
      <c r="B264" s="13" t="s">
        <v>344</v>
      </c>
      <c r="C264" s="19">
        <v>2011</v>
      </c>
      <c r="D264" s="14" t="s">
        <v>29</v>
      </c>
      <c r="E264" s="12">
        <v>150</v>
      </c>
      <c r="F264" s="15">
        <v>82.5</v>
      </c>
      <c r="G264" s="16">
        <v>12</v>
      </c>
      <c r="H264" s="12">
        <v>15</v>
      </c>
      <c r="I264" s="18">
        <v>0.6331</v>
      </c>
      <c r="J264" s="19">
        <v>2.99</v>
      </c>
      <c r="K264" s="20">
        <f t="shared" si="12"/>
        <v>5500000</v>
      </c>
      <c r="L264" s="16">
        <v>1472.6</v>
      </c>
      <c r="M264" s="16">
        <v>-25.1</v>
      </c>
      <c r="N264" s="16">
        <v>1052.3</v>
      </c>
      <c r="O264" s="21">
        <v>10.55</v>
      </c>
      <c r="P264" s="12">
        <v>8.86</v>
      </c>
      <c r="Q264" s="15">
        <v>5.2413150014066296</v>
      </c>
      <c r="R264" s="16">
        <v>8.25</v>
      </c>
      <c r="S264" s="22">
        <v>8.2200000000000006</v>
      </c>
      <c r="T264" s="23">
        <v>2.0178660049627721</v>
      </c>
      <c r="U264" s="24">
        <v>49.225000000000001</v>
      </c>
      <c r="V264" s="25">
        <v>37.19</v>
      </c>
      <c r="W264" s="26">
        <v>-61.233333333333327</v>
      </c>
      <c r="X264" s="29">
        <v>-79.45</v>
      </c>
    </row>
    <row r="265" spans="1:24" ht="15.5" x14ac:dyDescent="0.35">
      <c r="A265" s="39">
        <v>264</v>
      </c>
      <c r="B265" s="13" t="s">
        <v>345</v>
      </c>
      <c r="C265" s="19">
        <v>2011</v>
      </c>
      <c r="D265" s="14" t="s">
        <v>32</v>
      </c>
      <c r="E265" s="12">
        <v>110</v>
      </c>
      <c r="F265" s="15">
        <v>36.85</v>
      </c>
      <c r="G265" s="16">
        <v>4</v>
      </c>
      <c r="H265" s="12">
        <v>13</v>
      </c>
      <c r="I265" s="30">
        <v>1</v>
      </c>
      <c r="J265" s="19">
        <v>1.53</v>
      </c>
      <c r="K265" s="20">
        <f t="shared" si="12"/>
        <v>3350000</v>
      </c>
      <c r="L265" s="32">
        <v>49.5</v>
      </c>
      <c r="M265" s="32">
        <v>2.7</v>
      </c>
      <c r="N265" s="32">
        <v>84.5</v>
      </c>
      <c r="O265" s="21">
        <v>0</v>
      </c>
      <c r="P265" s="12">
        <v>8.86</v>
      </c>
      <c r="Q265" s="15">
        <v>5.2413150014066296</v>
      </c>
      <c r="R265" s="16">
        <v>8.25</v>
      </c>
      <c r="S265" s="22">
        <v>8.2200000000000006</v>
      </c>
      <c r="T265" s="23">
        <v>-0.27375640551020364</v>
      </c>
      <c r="U265" s="24">
        <v>49.225000000000001</v>
      </c>
      <c r="V265" s="25">
        <v>37.19</v>
      </c>
      <c r="W265" s="26">
        <v>32.681818181818173</v>
      </c>
      <c r="X265" s="21">
        <v>447.17</v>
      </c>
    </row>
    <row r="266" spans="1:24" ht="15.5" x14ac:dyDescent="0.35">
      <c r="A266" s="12">
        <v>265</v>
      </c>
      <c r="B266" s="13" t="s">
        <v>346</v>
      </c>
      <c r="C266" s="19">
        <v>2011</v>
      </c>
      <c r="D266" s="14" t="s">
        <v>27</v>
      </c>
      <c r="E266" s="12">
        <v>186</v>
      </c>
      <c r="F266" s="15">
        <v>93</v>
      </c>
      <c r="G266" s="16">
        <v>12</v>
      </c>
      <c r="H266" s="12">
        <v>15</v>
      </c>
      <c r="I266" s="18">
        <v>0.94259999999999999</v>
      </c>
      <c r="J266" s="19">
        <v>1.57</v>
      </c>
      <c r="K266" s="20">
        <f t="shared" si="12"/>
        <v>5000000</v>
      </c>
      <c r="L266" s="31">
        <v>951.9</v>
      </c>
      <c r="M266" s="31">
        <v>52.2</v>
      </c>
      <c r="N266" s="32">
        <v>1144.5999999999999</v>
      </c>
      <c r="O266" s="21">
        <v>0.82</v>
      </c>
      <c r="P266" s="12">
        <v>8.86</v>
      </c>
      <c r="Q266" s="15">
        <v>5.2413150014066296</v>
      </c>
      <c r="R266" s="16">
        <v>8.25</v>
      </c>
      <c r="S266" s="22">
        <v>8.2200000000000006</v>
      </c>
      <c r="T266" s="23">
        <v>-0.91941274335250001</v>
      </c>
      <c r="U266" s="24">
        <v>49.191800000000001</v>
      </c>
      <c r="V266" s="25">
        <v>35.369999999999997</v>
      </c>
      <c r="W266" s="26">
        <v>71.182795698924721</v>
      </c>
      <c r="X266" s="45">
        <v>-55.08</v>
      </c>
    </row>
    <row r="267" spans="1:24" ht="15.5" x14ac:dyDescent="0.35">
      <c r="A267" s="12">
        <v>266</v>
      </c>
      <c r="B267" s="13" t="s">
        <v>347</v>
      </c>
      <c r="C267" s="19">
        <v>2011</v>
      </c>
      <c r="D267" s="14" t="s">
        <v>25</v>
      </c>
      <c r="E267" s="12">
        <v>60</v>
      </c>
      <c r="F267" s="41">
        <v>60</v>
      </c>
      <c r="G267" s="16">
        <v>5</v>
      </c>
      <c r="H267" s="12">
        <v>15</v>
      </c>
      <c r="I267" s="30">
        <v>1</v>
      </c>
      <c r="J267" s="12">
        <v>1.2</v>
      </c>
      <c r="K267" s="20">
        <f t="shared" si="12"/>
        <v>10000000</v>
      </c>
      <c r="L267" s="16">
        <v>1189.7</v>
      </c>
      <c r="M267" s="16">
        <v>69</v>
      </c>
      <c r="N267" s="16">
        <v>857.7</v>
      </c>
      <c r="O267" s="21">
        <v>0.11</v>
      </c>
      <c r="P267" s="12">
        <v>8.86</v>
      </c>
      <c r="Q267" s="15">
        <v>5.2413150014066296</v>
      </c>
      <c r="R267" s="16">
        <v>8.25</v>
      </c>
      <c r="S267" s="22">
        <v>8.2200000000000006</v>
      </c>
      <c r="T267" s="23">
        <v>1.0723042232440858</v>
      </c>
      <c r="U267" s="24">
        <v>48.9253</v>
      </c>
      <c r="V267" s="25">
        <v>31.07</v>
      </c>
      <c r="W267" s="26">
        <v>-69</v>
      </c>
      <c r="X267" s="29">
        <v>-53.49</v>
      </c>
    </row>
    <row r="268" spans="1:24" ht="15.5" x14ac:dyDescent="0.35">
      <c r="A268" s="39">
        <v>267</v>
      </c>
      <c r="B268" s="13" t="s">
        <v>348</v>
      </c>
      <c r="C268" s="19">
        <v>2011</v>
      </c>
      <c r="D268" s="14" t="s">
        <v>25</v>
      </c>
      <c r="E268" s="12">
        <v>79</v>
      </c>
      <c r="F268" s="41">
        <v>35.549999999999997</v>
      </c>
      <c r="G268" s="16">
        <v>16</v>
      </c>
      <c r="H268" s="12">
        <v>14</v>
      </c>
      <c r="I268" s="18">
        <v>0.87590000000000001</v>
      </c>
      <c r="J268" s="19">
        <v>1.5</v>
      </c>
      <c r="K268" s="20">
        <f t="shared" si="12"/>
        <v>4500000</v>
      </c>
      <c r="L268" s="16">
        <v>461.3</v>
      </c>
      <c r="M268" s="16">
        <v>18</v>
      </c>
      <c r="N268" s="16">
        <v>348.9</v>
      </c>
      <c r="O268" s="21">
        <v>0.7</v>
      </c>
      <c r="P268" s="12">
        <v>8.86</v>
      </c>
      <c r="Q268" s="15">
        <v>5.2413150014066296</v>
      </c>
      <c r="R268" s="16">
        <v>8.25</v>
      </c>
      <c r="S268" s="22">
        <v>8.2200000000000006</v>
      </c>
      <c r="T268" s="23">
        <v>2.8818407410447633</v>
      </c>
      <c r="U268" s="24">
        <v>49.673000000000002</v>
      </c>
      <c r="V268" s="25">
        <v>35.159999999999997</v>
      </c>
      <c r="W268" s="26">
        <v>-66.455696202531641</v>
      </c>
      <c r="X268" s="45">
        <v>46.91</v>
      </c>
    </row>
    <row r="269" spans="1:24" ht="15.5" x14ac:dyDescent="0.35">
      <c r="A269" s="12">
        <v>268</v>
      </c>
      <c r="B269" s="13" t="s">
        <v>349</v>
      </c>
      <c r="C269" s="19">
        <v>2011</v>
      </c>
      <c r="D269" s="14" t="s">
        <v>27</v>
      </c>
      <c r="E269" s="12">
        <v>138</v>
      </c>
      <c r="F269" s="41">
        <v>60</v>
      </c>
      <c r="G269" s="16">
        <v>15</v>
      </c>
      <c r="H269" s="12">
        <v>13</v>
      </c>
      <c r="I269" s="18">
        <v>0.98050000000000004</v>
      </c>
      <c r="J269" s="19">
        <v>2.21</v>
      </c>
      <c r="K269" s="20">
        <f t="shared" si="12"/>
        <v>4347826.0869565215</v>
      </c>
      <c r="L269" s="31">
        <v>2269.9</v>
      </c>
      <c r="M269" s="31">
        <v>75.599999999999994</v>
      </c>
      <c r="N269" s="32">
        <v>1612.8</v>
      </c>
      <c r="O269" s="21">
        <v>0.33</v>
      </c>
      <c r="P269" s="12">
        <v>8.86</v>
      </c>
      <c r="Q269" s="15">
        <v>5.2413150014066296</v>
      </c>
      <c r="R269" s="16">
        <v>8.25</v>
      </c>
      <c r="S269" s="22">
        <v>8.2200000000000006</v>
      </c>
      <c r="T269" s="23">
        <v>-1.5950097948242161</v>
      </c>
      <c r="U269" s="24">
        <v>47.89</v>
      </c>
      <c r="V269" s="25">
        <v>27.67</v>
      </c>
      <c r="W269" s="26">
        <v>66.666666666666657</v>
      </c>
      <c r="X269" s="53"/>
    </row>
    <row r="270" spans="1:24" ht="15.5" x14ac:dyDescent="0.35">
      <c r="A270" s="12">
        <v>269</v>
      </c>
      <c r="B270" s="13" t="s">
        <v>350</v>
      </c>
      <c r="C270" s="19">
        <v>2011</v>
      </c>
      <c r="D270" s="14" t="s">
        <v>27</v>
      </c>
      <c r="E270" s="12">
        <v>210</v>
      </c>
      <c r="F270" s="41">
        <v>120.65</v>
      </c>
      <c r="G270" s="16">
        <v>8</v>
      </c>
      <c r="H270" s="12">
        <v>13</v>
      </c>
      <c r="I270" s="30">
        <v>1</v>
      </c>
      <c r="J270" s="19">
        <v>1.34</v>
      </c>
      <c r="K270" s="20">
        <f t="shared" si="12"/>
        <v>5745238.0952380951</v>
      </c>
      <c r="L270" s="16">
        <v>4481.8</v>
      </c>
      <c r="M270" s="16">
        <v>178.5</v>
      </c>
      <c r="N270" s="16">
        <v>1598.3</v>
      </c>
      <c r="O270" s="21">
        <v>0.46</v>
      </c>
      <c r="P270" s="12">
        <v>8.86</v>
      </c>
      <c r="Q270" s="15">
        <v>5.2413150014066296</v>
      </c>
      <c r="R270" s="16">
        <v>8.25</v>
      </c>
      <c r="S270" s="22">
        <v>8.2200000000000006</v>
      </c>
      <c r="T270" s="23">
        <v>-0.66457809049356198</v>
      </c>
      <c r="U270" s="24">
        <v>46.973500000000001</v>
      </c>
      <c r="V270" s="25">
        <v>32.75</v>
      </c>
      <c r="W270" s="26">
        <v>97.761904761904773</v>
      </c>
      <c r="X270" s="45">
        <v>-46.88</v>
      </c>
    </row>
    <row r="271" spans="1:24" ht="15.5" x14ac:dyDescent="0.35">
      <c r="A271" s="39">
        <v>270</v>
      </c>
      <c r="B271" s="13" t="s">
        <v>351</v>
      </c>
      <c r="C271" s="19">
        <v>2011</v>
      </c>
      <c r="D271" s="14" t="s">
        <v>27</v>
      </c>
      <c r="E271" s="12">
        <v>256</v>
      </c>
      <c r="F271" s="19" t="s">
        <v>352</v>
      </c>
      <c r="G271" s="16">
        <v>12</v>
      </c>
      <c r="H271" s="12">
        <v>13</v>
      </c>
      <c r="I271" s="18">
        <v>0.89449999999999996</v>
      </c>
      <c r="J271" s="19">
        <v>2.92</v>
      </c>
      <c r="K271" s="20">
        <f>(227*10000000)/256</f>
        <v>8867187.5</v>
      </c>
      <c r="L271" s="16">
        <v>5171.6000000000004</v>
      </c>
      <c r="M271" s="16">
        <v>416.4</v>
      </c>
      <c r="N271" s="16">
        <v>4619.8</v>
      </c>
      <c r="O271" s="21">
        <v>0.18</v>
      </c>
      <c r="P271" s="12">
        <v>8.86</v>
      </c>
      <c r="Q271" s="15">
        <v>5.2413150014066296</v>
      </c>
      <c r="R271" s="16">
        <v>8.25</v>
      </c>
      <c r="S271" s="22">
        <v>8.2200000000000006</v>
      </c>
      <c r="T271" s="23">
        <v>0.55808689373909171</v>
      </c>
      <c r="U271" s="24">
        <v>46.052799999999998</v>
      </c>
      <c r="V271" s="25">
        <v>33.26</v>
      </c>
      <c r="W271" s="26">
        <v>7.51953125</v>
      </c>
      <c r="X271" s="29">
        <v>-7.41</v>
      </c>
    </row>
    <row r="272" spans="1:24" ht="15.5" x14ac:dyDescent="0.35">
      <c r="A272" s="12">
        <v>271</v>
      </c>
      <c r="B272" s="13" t="s">
        <v>353</v>
      </c>
      <c r="C272" s="19">
        <v>2011</v>
      </c>
      <c r="D272" s="14" t="s">
        <v>34</v>
      </c>
      <c r="E272" s="12">
        <v>58</v>
      </c>
      <c r="F272" s="41">
        <v>203</v>
      </c>
      <c r="G272" s="16">
        <v>11</v>
      </c>
      <c r="H272" s="12">
        <v>21</v>
      </c>
      <c r="I272" s="18">
        <v>0.9889</v>
      </c>
      <c r="J272" s="19">
        <v>1.25</v>
      </c>
      <c r="K272" s="20">
        <f>(F272*10000000)/E272</f>
        <v>35000000</v>
      </c>
      <c r="L272" s="16">
        <v>20408.099999999999</v>
      </c>
      <c r="M272" s="16">
        <v>371.3</v>
      </c>
      <c r="N272" s="16">
        <v>6615.6</v>
      </c>
      <c r="O272" s="21">
        <v>0.11</v>
      </c>
      <c r="P272" s="12">
        <v>8.86</v>
      </c>
      <c r="Q272" s="15">
        <v>5.2413150014066296</v>
      </c>
      <c r="R272" s="16">
        <v>8.25</v>
      </c>
      <c r="S272" s="22">
        <v>8.2200000000000006</v>
      </c>
      <c r="T272" s="23">
        <v>0.16844967196643187</v>
      </c>
      <c r="U272" s="24">
        <v>46.052799999999998</v>
      </c>
      <c r="V272" s="25">
        <v>33.26</v>
      </c>
      <c r="W272" s="26">
        <v>-42.672413793103445</v>
      </c>
      <c r="X272" s="45">
        <v>37.1</v>
      </c>
    </row>
    <row r="273" spans="1:24" ht="15.5" x14ac:dyDescent="0.35">
      <c r="A273" s="12">
        <v>272</v>
      </c>
      <c r="B273" s="13" t="s">
        <v>354</v>
      </c>
      <c r="C273" s="19">
        <v>2011</v>
      </c>
      <c r="D273" s="14" t="s">
        <v>48</v>
      </c>
      <c r="E273" s="12">
        <v>100</v>
      </c>
      <c r="F273" s="41" t="s">
        <v>355</v>
      </c>
      <c r="G273" s="16">
        <v>9</v>
      </c>
      <c r="H273" s="12">
        <v>18</v>
      </c>
      <c r="I273" s="18">
        <v>0.995</v>
      </c>
      <c r="J273" s="19">
        <v>1.6</v>
      </c>
      <c r="K273" s="20">
        <f>(63*10000000)/100</f>
        <v>6300000</v>
      </c>
      <c r="L273" s="16">
        <v>525.4</v>
      </c>
      <c r="M273" s="16">
        <v>68.900000000000006</v>
      </c>
      <c r="N273" s="16">
        <v>408.6</v>
      </c>
      <c r="O273" s="21">
        <v>0.08</v>
      </c>
      <c r="P273" s="12">
        <v>8.86</v>
      </c>
      <c r="Q273" s="15">
        <v>5.2413150014066296</v>
      </c>
      <c r="R273" s="16">
        <v>8</v>
      </c>
      <c r="S273" s="22">
        <v>8.2200000000000006</v>
      </c>
      <c r="T273" s="23">
        <v>-0.45238095238095599</v>
      </c>
      <c r="U273" s="24">
        <v>45.610500000000002</v>
      </c>
      <c r="V273" s="25">
        <v>27.45</v>
      </c>
      <c r="W273" s="26">
        <v>-38.5</v>
      </c>
      <c r="X273" s="45">
        <v>-73.42</v>
      </c>
    </row>
    <row r="274" spans="1:24" ht="15.5" x14ac:dyDescent="0.35">
      <c r="A274" s="39">
        <v>273</v>
      </c>
      <c r="B274" s="13" t="s">
        <v>356</v>
      </c>
      <c r="C274" s="19">
        <v>2011</v>
      </c>
      <c r="D274" s="14" t="s">
        <v>34</v>
      </c>
      <c r="E274" s="12">
        <v>135</v>
      </c>
      <c r="F274" s="41" t="s">
        <v>357</v>
      </c>
      <c r="G274" s="16">
        <v>5</v>
      </c>
      <c r="H274" s="12">
        <v>14</v>
      </c>
      <c r="I274" s="18">
        <v>0.3947</v>
      </c>
      <c r="J274" s="19">
        <v>1.85</v>
      </c>
      <c r="K274" s="20">
        <f>(113.83*10000000)/135</f>
        <v>8431851.8518518526</v>
      </c>
      <c r="L274" s="16">
        <v>380.2</v>
      </c>
      <c r="M274" s="16">
        <v>91.9</v>
      </c>
      <c r="N274" s="16">
        <v>1858.8</v>
      </c>
      <c r="O274" s="21">
        <v>0</v>
      </c>
      <c r="P274" s="12">
        <v>8.86</v>
      </c>
      <c r="Q274" s="15">
        <v>5.2413150014066296</v>
      </c>
      <c r="R274" s="16">
        <v>8</v>
      </c>
      <c r="S274" s="22">
        <v>8.2200000000000006</v>
      </c>
      <c r="T274" s="23">
        <v>-1.8968509794197903</v>
      </c>
      <c r="U274" s="24">
        <v>45.374000000000002</v>
      </c>
      <c r="V274" s="25">
        <v>27.02</v>
      </c>
      <c r="W274" s="26">
        <v>-12.888888888888895</v>
      </c>
      <c r="X274" s="45">
        <v>105.44</v>
      </c>
    </row>
    <row r="275" spans="1:24" ht="15.5" x14ac:dyDescent="0.35">
      <c r="A275" s="12">
        <v>274</v>
      </c>
      <c r="B275" s="13" t="s">
        <v>358</v>
      </c>
      <c r="C275" s="19">
        <v>2011</v>
      </c>
      <c r="D275" s="14" t="s">
        <v>32</v>
      </c>
      <c r="E275" s="12">
        <v>52</v>
      </c>
      <c r="F275" s="41">
        <v>1245</v>
      </c>
      <c r="G275" s="16">
        <v>3</v>
      </c>
      <c r="H275" s="12">
        <v>14</v>
      </c>
      <c r="I275" s="18">
        <v>0.95940000000000003</v>
      </c>
      <c r="J275" s="19">
        <v>5.34</v>
      </c>
      <c r="K275" s="20">
        <f>(F275*10000000)/E275</f>
        <v>239423076.92307693</v>
      </c>
      <c r="L275" s="31">
        <v>27786.3</v>
      </c>
      <c r="M275" s="32">
        <v>4241.8999999999996</v>
      </c>
      <c r="N275" s="32">
        <v>160544.20000000001</v>
      </c>
      <c r="O275" s="21">
        <v>5.51</v>
      </c>
      <c r="P275" s="12">
        <v>8.86</v>
      </c>
      <c r="Q275" s="15">
        <v>5.2413150014066296</v>
      </c>
      <c r="R275" s="16">
        <v>7.5</v>
      </c>
      <c r="S275" s="22">
        <v>8.2200000000000006</v>
      </c>
      <c r="T275" s="23">
        <v>-1.271821419535651</v>
      </c>
      <c r="U275" s="24">
        <v>44.155299999999997</v>
      </c>
      <c r="V275" s="25">
        <v>19.77</v>
      </c>
      <c r="W275" s="26">
        <v>-3.7500000000000053</v>
      </c>
      <c r="X275" s="29">
        <v>-10.59</v>
      </c>
    </row>
    <row r="276" spans="1:24" ht="15.5" x14ac:dyDescent="0.35">
      <c r="A276" s="12">
        <v>275</v>
      </c>
      <c r="B276" s="13" t="s">
        <v>359</v>
      </c>
      <c r="C276" s="19">
        <v>2011</v>
      </c>
      <c r="D276" s="14" t="s">
        <v>32</v>
      </c>
      <c r="E276" s="12">
        <v>117</v>
      </c>
      <c r="F276" s="41" t="s">
        <v>360</v>
      </c>
      <c r="G276" s="16">
        <v>16</v>
      </c>
      <c r="H276" s="12">
        <v>13</v>
      </c>
      <c r="I276" s="18">
        <v>0.72019999999999995</v>
      </c>
      <c r="J276" s="19">
        <v>4.58</v>
      </c>
      <c r="K276" s="20">
        <f>(81.9*10000000)/117</f>
        <v>7000000</v>
      </c>
      <c r="L276" s="12">
        <v>2429.1999999999998</v>
      </c>
      <c r="M276" s="16">
        <v>55.4</v>
      </c>
      <c r="N276" s="16">
        <v>1671.5</v>
      </c>
      <c r="O276" s="21">
        <v>0.69</v>
      </c>
      <c r="P276" s="12">
        <v>8.86</v>
      </c>
      <c r="Q276" s="15">
        <v>5.2413150014066296</v>
      </c>
      <c r="R276" s="16">
        <v>7.5</v>
      </c>
      <c r="S276" s="22">
        <v>8.2200000000000006</v>
      </c>
      <c r="T276" s="23">
        <v>-1.3506512729425695</v>
      </c>
      <c r="U276" s="24">
        <v>44.376300000000001</v>
      </c>
      <c r="V276" s="25">
        <v>17.91</v>
      </c>
      <c r="W276" s="26">
        <v>76.709401709401718</v>
      </c>
      <c r="X276" s="21">
        <v>-90.25</v>
      </c>
    </row>
    <row r="277" spans="1:24" ht="15.5" x14ac:dyDescent="0.35">
      <c r="A277" s="39">
        <v>276</v>
      </c>
      <c r="B277" s="13" t="s">
        <v>361</v>
      </c>
      <c r="C277" s="19">
        <v>2011</v>
      </c>
      <c r="D277" s="14" t="s">
        <v>137</v>
      </c>
      <c r="E277" s="12">
        <v>82</v>
      </c>
      <c r="F277" s="41">
        <v>55.1</v>
      </c>
      <c r="G277" s="16">
        <v>17</v>
      </c>
      <c r="H277" s="12">
        <v>14</v>
      </c>
      <c r="I277" s="18">
        <v>0.88660000000000005</v>
      </c>
      <c r="J277" s="19">
        <v>2.06</v>
      </c>
      <c r="K277" s="20">
        <f t="shared" ref="K277:K283" si="13">(F277*10000000)/E277</f>
        <v>6719512.1951219514</v>
      </c>
      <c r="L277" s="16">
        <v>709.9</v>
      </c>
      <c r="M277" s="16">
        <v>47.8</v>
      </c>
      <c r="N277" s="16">
        <v>581.6</v>
      </c>
      <c r="O277" s="21">
        <v>0.1</v>
      </c>
      <c r="P277" s="12">
        <v>8.86</v>
      </c>
      <c r="Q277" s="15">
        <v>5.2413150014066296</v>
      </c>
      <c r="R277" s="16">
        <v>7.5</v>
      </c>
      <c r="S277" s="22">
        <v>8.2200000000000006</v>
      </c>
      <c r="T277" s="23">
        <v>-1.0645777745727298</v>
      </c>
      <c r="U277" s="24">
        <v>44.527799999999999</v>
      </c>
      <c r="V277" s="25">
        <v>19.97</v>
      </c>
      <c r="W277" s="26">
        <v>-63.536585365853661</v>
      </c>
      <c r="X277" s="45">
        <v>-78.84</v>
      </c>
    </row>
    <row r="278" spans="1:24" ht="15.5" x14ac:dyDescent="0.35">
      <c r="A278" s="12">
        <v>277</v>
      </c>
      <c r="B278" s="13" t="s">
        <v>362</v>
      </c>
      <c r="C278" s="19">
        <v>2011</v>
      </c>
      <c r="D278" s="14" t="s">
        <v>25</v>
      </c>
      <c r="E278" s="12">
        <v>108</v>
      </c>
      <c r="F278" s="41">
        <v>34.75</v>
      </c>
      <c r="G278" s="16">
        <v>5</v>
      </c>
      <c r="H278" s="12">
        <v>14</v>
      </c>
      <c r="I278" s="18">
        <v>0.88829999999999998</v>
      </c>
      <c r="J278" s="19">
        <v>1.68</v>
      </c>
      <c r="K278" s="20">
        <f t="shared" si="13"/>
        <v>3217592.5925925928</v>
      </c>
      <c r="L278" s="31">
        <v>1264.8</v>
      </c>
      <c r="M278" s="31">
        <v>52.7</v>
      </c>
      <c r="N278" s="32">
        <v>879.4</v>
      </c>
      <c r="O278" s="21">
        <v>0.28999999999999998</v>
      </c>
      <c r="P278" s="12">
        <v>8.86</v>
      </c>
      <c r="Q278" s="15">
        <v>5.2413150014066296</v>
      </c>
      <c r="R278" s="16">
        <v>7.5</v>
      </c>
      <c r="S278" s="22">
        <v>8.2200000000000006</v>
      </c>
      <c r="T278" s="23">
        <v>1.0730798114419657</v>
      </c>
      <c r="U278" s="24">
        <v>44.94</v>
      </c>
      <c r="V278" s="25">
        <v>19.46</v>
      </c>
      <c r="W278" s="26">
        <v>-38.472222222222221</v>
      </c>
      <c r="X278" s="27"/>
    </row>
    <row r="279" spans="1:24" ht="15.5" x14ac:dyDescent="0.35">
      <c r="A279" s="12">
        <v>278</v>
      </c>
      <c r="B279" s="13" t="s">
        <v>363</v>
      </c>
      <c r="C279" s="19">
        <v>2011</v>
      </c>
      <c r="D279" s="14" t="s">
        <v>25</v>
      </c>
      <c r="E279" s="12">
        <v>72</v>
      </c>
      <c r="F279" s="41">
        <v>40.64</v>
      </c>
      <c r="G279" s="16">
        <v>18</v>
      </c>
      <c r="H279" s="12">
        <v>14</v>
      </c>
      <c r="I279" s="18">
        <v>0.88580000000000003</v>
      </c>
      <c r="J279" s="19">
        <v>2.62</v>
      </c>
      <c r="K279" s="20">
        <f t="shared" si="13"/>
        <v>5644444.444444444</v>
      </c>
      <c r="L279" s="16">
        <v>1285.5</v>
      </c>
      <c r="M279" s="16">
        <v>44.8</v>
      </c>
      <c r="N279" s="16">
        <v>1765.6</v>
      </c>
      <c r="O279" s="21">
        <v>2.1800000000000002</v>
      </c>
      <c r="P279" s="12">
        <v>8.86</v>
      </c>
      <c r="Q279" s="15">
        <v>5.2413150014066296</v>
      </c>
      <c r="R279" s="16">
        <v>7.5</v>
      </c>
      <c r="S279" s="22">
        <v>8.2200000000000006</v>
      </c>
      <c r="T279" s="23">
        <v>1.8398528117750581</v>
      </c>
      <c r="U279" s="24">
        <v>44.93</v>
      </c>
      <c r="V279" s="25">
        <v>19.5</v>
      </c>
      <c r="W279" s="26">
        <v>65.972222222222214</v>
      </c>
      <c r="X279" s="21">
        <v>70.459999999999994</v>
      </c>
    </row>
    <row r="280" spans="1:24" ht="15.5" x14ac:dyDescent="0.35">
      <c r="A280" s="39">
        <v>279</v>
      </c>
      <c r="B280" s="13" t="s">
        <v>364</v>
      </c>
      <c r="C280" s="19">
        <v>2011</v>
      </c>
      <c r="D280" s="14" t="s">
        <v>48</v>
      </c>
      <c r="E280" s="12">
        <v>10</v>
      </c>
      <c r="F280" s="41">
        <v>65.180000000000007</v>
      </c>
      <c r="G280" s="16">
        <v>3</v>
      </c>
      <c r="H280" s="12">
        <v>14</v>
      </c>
      <c r="I280" s="18">
        <v>0.64770000000000005</v>
      </c>
      <c r="J280" s="19">
        <v>1.18</v>
      </c>
      <c r="K280" s="20">
        <f t="shared" si="13"/>
        <v>65180000.000000015</v>
      </c>
      <c r="L280" s="16">
        <v>22.5</v>
      </c>
      <c r="M280" s="16">
        <v>-44.3</v>
      </c>
      <c r="N280" s="16">
        <v>450.9</v>
      </c>
      <c r="O280" s="21">
        <v>0</v>
      </c>
      <c r="P280" s="12">
        <v>8.86</v>
      </c>
      <c r="Q280" s="15">
        <v>5.2413150014066296</v>
      </c>
      <c r="R280" s="16">
        <v>7.5</v>
      </c>
      <c r="S280" s="22">
        <v>8.2200000000000006</v>
      </c>
      <c r="T280" s="23">
        <v>1.8398528117750581</v>
      </c>
      <c r="U280" s="24">
        <v>44.93</v>
      </c>
      <c r="V280" s="25">
        <v>19.5</v>
      </c>
      <c r="W280" s="26">
        <v>153.5</v>
      </c>
      <c r="X280" s="45">
        <v>-76.209999999999994</v>
      </c>
    </row>
    <row r="281" spans="1:24" ht="15.5" x14ac:dyDescent="0.35">
      <c r="A281" s="12">
        <v>280</v>
      </c>
      <c r="B281" s="13" t="s">
        <v>365</v>
      </c>
      <c r="C281" s="19">
        <v>2011</v>
      </c>
      <c r="D281" s="14" t="s">
        <v>27</v>
      </c>
      <c r="E281" s="12">
        <v>40</v>
      </c>
      <c r="F281" s="41">
        <v>25.75</v>
      </c>
      <c r="G281" s="16">
        <v>20</v>
      </c>
      <c r="H281" s="12">
        <v>12</v>
      </c>
      <c r="I281" s="18">
        <v>0.92930000000000001</v>
      </c>
      <c r="J281" s="19">
        <v>1.36</v>
      </c>
      <c r="K281" s="20">
        <f t="shared" si="13"/>
        <v>6437500</v>
      </c>
      <c r="L281" s="16">
        <v>749.2</v>
      </c>
      <c r="M281" s="16">
        <v>16.7</v>
      </c>
      <c r="N281" s="16">
        <v>723.8</v>
      </c>
      <c r="O281" s="21">
        <v>2.5</v>
      </c>
      <c r="P281" s="12">
        <v>8.86</v>
      </c>
      <c r="Q281" s="15">
        <v>5.2413150014066296</v>
      </c>
      <c r="R281" s="16">
        <v>7.25</v>
      </c>
      <c r="S281" s="22">
        <v>8.2200000000000006</v>
      </c>
      <c r="T281" s="23">
        <v>0.32282775224337595</v>
      </c>
      <c r="U281" s="24">
        <v>44.94</v>
      </c>
      <c r="V281" s="25">
        <v>17.98</v>
      </c>
      <c r="W281" s="26">
        <v>-28.749999999999996</v>
      </c>
      <c r="X281" s="45">
        <v>98.95</v>
      </c>
    </row>
    <row r="282" spans="1:24" ht="15.5" x14ac:dyDescent="0.35">
      <c r="A282" s="12">
        <v>281</v>
      </c>
      <c r="B282" s="13" t="s">
        <v>366</v>
      </c>
      <c r="C282" s="19">
        <v>2011</v>
      </c>
      <c r="D282" s="14" t="s">
        <v>34</v>
      </c>
      <c r="E282" s="12">
        <v>63</v>
      </c>
      <c r="F282" s="41">
        <v>23.25</v>
      </c>
      <c r="G282" s="16">
        <v>11</v>
      </c>
      <c r="H282" s="12">
        <v>20</v>
      </c>
      <c r="I282" s="16">
        <v>63.265000000000001</v>
      </c>
      <c r="J282" s="19">
        <v>5.78</v>
      </c>
      <c r="K282" s="20">
        <f t="shared" si="13"/>
        <v>3690476.1904761903</v>
      </c>
      <c r="L282" s="16">
        <v>805.4</v>
      </c>
      <c r="M282" s="16">
        <v>27.5</v>
      </c>
      <c r="N282" s="16">
        <v>692.2</v>
      </c>
      <c r="O282" s="54">
        <v>1.17</v>
      </c>
      <c r="P282" s="12">
        <v>8.86</v>
      </c>
      <c r="Q282" s="15">
        <v>5.2413150014066296</v>
      </c>
      <c r="R282" s="16">
        <v>7.25</v>
      </c>
      <c r="S282" s="22">
        <v>8.2200000000000006</v>
      </c>
      <c r="T282" s="23">
        <v>4.6438014727481221E-2</v>
      </c>
      <c r="U282" s="24">
        <v>44.94</v>
      </c>
      <c r="V282" s="25">
        <v>17.98</v>
      </c>
      <c r="W282" s="26">
        <v>45.317460317460309</v>
      </c>
      <c r="X282" s="45">
        <v>-72.42</v>
      </c>
    </row>
    <row r="283" spans="1:24" ht="15.5" x14ac:dyDescent="0.35">
      <c r="A283" s="39">
        <v>282</v>
      </c>
      <c r="B283" s="13" t="s">
        <v>367</v>
      </c>
      <c r="C283" s="19">
        <v>2011</v>
      </c>
      <c r="D283" s="14" t="s">
        <v>48</v>
      </c>
      <c r="E283" s="12">
        <v>234</v>
      </c>
      <c r="F283" s="41">
        <v>117</v>
      </c>
      <c r="G283" s="16">
        <v>5</v>
      </c>
      <c r="H283" s="12">
        <v>15</v>
      </c>
      <c r="I283" s="30">
        <v>1</v>
      </c>
      <c r="J283" s="19">
        <v>1.1100000000000001</v>
      </c>
      <c r="K283" s="20">
        <f t="shared" si="13"/>
        <v>5000000</v>
      </c>
      <c r="L283" s="31">
        <v>2603.1999999999998</v>
      </c>
      <c r="M283" s="31">
        <v>79.3</v>
      </c>
      <c r="N283" s="32">
        <v>1727.7</v>
      </c>
      <c r="O283" s="21">
        <v>0.32</v>
      </c>
      <c r="P283" s="12">
        <v>8.86</v>
      </c>
      <c r="Q283" s="15">
        <v>5.2413150014066296</v>
      </c>
      <c r="R283" s="16">
        <v>7.25</v>
      </c>
      <c r="S283" s="22">
        <v>8.2200000000000006</v>
      </c>
      <c r="T283" s="23">
        <v>1.1778617421268025</v>
      </c>
      <c r="U283" s="24">
        <v>44.79</v>
      </c>
      <c r="V283" s="25">
        <v>21.23</v>
      </c>
      <c r="W283" s="26">
        <v>32.948717948717956</v>
      </c>
      <c r="X283" s="27"/>
    </row>
    <row r="284" spans="1:24" ht="15.5" x14ac:dyDescent="0.35">
      <c r="A284" s="12">
        <v>283</v>
      </c>
      <c r="B284" s="13" t="s">
        <v>368</v>
      </c>
      <c r="C284" s="19">
        <v>2011</v>
      </c>
      <c r="D284" s="14" t="s">
        <v>27</v>
      </c>
      <c r="E284" s="12">
        <v>85</v>
      </c>
      <c r="F284" s="41" t="s">
        <v>369</v>
      </c>
      <c r="G284" s="16">
        <v>22</v>
      </c>
      <c r="H284" s="12">
        <v>14</v>
      </c>
      <c r="I284" s="18">
        <v>0.86280000000000001</v>
      </c>
      <c r="J284" s="19">
        <v>1.3</v>
      </c>
      <c r="K284" s="20">
        <f>(36.9*10000000)/85</f>
        <v>4341176.4705882352</v>
      </c>
      <c r="L284" s="16">
        <v>431.6</v>
      </c>
      <c r="M284" s="16">
        <v>39.299999999999997</v>
      </c>
      <c r="N284" s="16">
        <v>546.5</v>
      </c>
      <c r="O284" s="21">
        <v>0.88</v>
      </c>
      <c r="P284" s="12">
        <v>8.86</v>
      </c>
      <c r="Q284" s="15">
        <v>5.2413150014066296</v>
      </c>
      <c r="R284" s="16">
        <v>7.25</v>
      </c>
      <c r="S284" s="22">
        <v>8.2200000000000006</v>
      </c>
      <c r="T284" s="23">
        <v>-1.8190600308037252</v>
      </c>
      <c r="U284" s="24">
        <v>44.7</v>
      </c>
      <c r="V284" s="25">
        <v>21.5</v>
      </c>
      <c r="W284" s="26">
        <v>31.764705882352938</v>
      </c>
      <c r="X284" s="29">
        <v>-38.130000000000003</v>
      </c>
    </row>
    <row r="285" spans="1:24" ht="15.5" x14ac:dyDescent="0.35">
      <c r="A285" s="12">
        <v>284</v>
      </c>
      <c r="B285" s="13" t="s">
        <v>370</v>
      </c>
      <c r="C285" s="19">
        <v>2011</v>
      </c>
      <c r="D285" s="14" t="s">
        <v>25</v>
      </c>
      <c r="E285" s="12">
        <v>29</v>
      </c>
      <c r="F285" s="41">
        <v>60</v>
      </c>
      <c r="G285" s="16">
        <v>6</v>
      </c>
      <c r="H285" s="12">
        <v>13</v>
      </c>
      <c r="I285" s="30">
        <v>1</v>
      </c>
      <c r="J285" s="19">
        <v>1.47</v>
      </c>
      <c r="K285" s="20">
        <f t="shared" ref="K285:K297" si="14">(F285*10000000)/E285</f>
        <v>20689655.172413792</v>
      </c>
      <c r="L285" s="31">
        <v>3212.3</v>
      </c>
      <c r="M285" s="32">
        <v>112.7</v>
      </c>
      <c r="N285" s="32">
        <v>2882.6</v>
      </c>
      <c r="O285" s="21">
        <v>4</v>
      </c>
      <c r="P285" s="12">
        <v>8.86</v>
      </c>
      <c r="Q285" s="15">
        <v>5.2413150014066296</v>
      </c>
      <c r="R285" s="16">
        <v>7.25</v>
      </c>
      <c r="S285" s="22">
        <v>8.2200000000000006</v>
      </c>
      <c r="T285" s="23">
        <v>-1.4177770190744117</v>
      </c>
      <c r="U285" s="24">
        <v>44.38</v>
      </c>
      <c r="V285" s="25">
        <v>19.579999999999998</v>
      </c>
      <c r="W285" s="26">
        <v>-34.310344827586206</v>
      </c>
      <c r="X285" s="29">
        <v>-74.540000000000006</v>
      </c>
    </row>
    <row r="286" spans="1:24" ht="15.5" x14ac:dyDescent="0.35">
      <c r="A286" s="39">
        <v>285</v>
      </c>
      <c r="B286" s="13" t="s">
        <v>371</v>
      </c>
      <c r="C286" s="19">
        <v>2011</v>
      </c>
      <c r="D286" s="14" t="s">
        <v>27</v>
      </c>
      <c r="E286" s="19">
        <v>117</v>
      </c>
      <c r="F286" s="41">
        <v>219.58</v>
      </c>
      <c r="G286" s="16">
        <v>20</v>
      </c>
      <c r="H286" s="12">
        <v>14</v>
      </c>
      <c r="I286" s="18">
        <v>0.65600000000000003</v>
      </c>
      <c r="J286" s="19">
        <v>1.24</v>
      </c>
      <c r="K286" s="20">
        <f t="shared" si="14"/>
        <v>18767521.367521368</v>
      </c>
      <c r="L286" s="16">
        <v>6451.3</v>
      </c>
      <c r="M286" s="16">
        <v>565.5</v>
      </c>
      <c r="N286" s="16">
        <v>6815</v>
      </c>
      <c r="O286" s="21">
        <v>1.52</v>
      </c>
      <c r="P286" s="12">
        <v>8.86</v>
      </c>
      <c r="Q286" s="15">
        <v>5.2413150014066296</v>
      </c>
      <c r="R286" s="16">
        <v>7.25</v>
      </c>
      <c r="S286" s="22">
        <v>8.2200000000000006</v>
      </c>
      <c r="T286" s="23">
        <v>1.0681443270781945</v>
      </c>
      <c r="U286" s="24">
        <v>44.38</v>
      </c>
      <c r="V286" s="25">
        <v>19.579999999999998</v>
      </c>
      <c r="W286" s="26">
        <v>-19.615384615384617</v>
      </c>
      <c r="X286" s="45">
        <v>24.52</v>
      </c>
    </row>
    <row r="287" spans="1:24" ht="15.5" x14ac:dyDescent="0.35">
      <c r="A287" s="12">
        <v>286</v>
      </c>
      <c r="B287" s="13" t="s">
        <v>372</v>
      </c>
      <c r="C287" s="19">
        <v>2011</v>
      </c>
      <c r="D287" s="14" t="s">
        <v>34</v>
      </c>
      <c r="E287" s="19">
        <v>10</v>
      </c>
      <c r="F287" s="41">
        <v>750</v>
      </c>
      <c r="G287" s="16">
        <v>15</v>
      </c>
      <c r="H287" s="12">
        <v>12</v>
      </c>
      <c r="I287" s="18">
        <v>0.59379999999999999</v>
      </c>
      <c r="J287" s="19">
        <v>1.52</v>
      </c>
      <c r="K287" s="20">
        <f t="shared" si="14"/>
        <v>750000000</v>
      </c>
      <c r="L287" s="31">
        <v>5069.7</v>
      </c>
      <c r="M287" s="31">
        <v>354.7</v>
      </c>
      <c r="N287" s="32">
        <v>11254.5</v>
      </c>
      <c r="O287" s="21">
        <v>0</v>
      </c>
      <c r="P287" s="12">
        <v>8.86</v>
      </c>
      <c r="Q287" s="15">
        <v>5.2413150014066296</v>
      </c>
      <c r="R287" s="16">
        <v>7.25</v>
      </c>
      <c r="S287" s="22">
        <v>8.2200000000000006</v>
      </c>
      <c r="T287" s="23">
        <v>-0.17744230873160929</v>
      </c>
      <c r="U287" s="24">
        <v>44.33</v>
      </c>
      <c r="V287" s="25">
        <v>20.92</v>
      </c>
      <c r="W287" s="26">
        <v>-18.000000000000007</v>
      </c>
      <c r="X287" s="52">
        <v>2.44</v>
      </c>
    </row>
    <row r="288" spans="1:24" ht="15.5" x14ac:dyDescent="0.35">
      <c r="A288" s="12">
        <v>287</v>
      </c>
      <c r="B288" s="13" t="s">
        <v>373</v>
      </c>
      <c r="C288" s="19">
        <v>2011</v>
      </c>
      <c r="D288" s="14" t="s">
        <v>25</v>
      </c>
      <c r="E288" s="19">
        <v>35</v>
      </c>
      <c r="F288" s="41">
        <v>45.83</v>
      </c>
      <c r="G288" s="16">
        <v>26</v>
      </c>
      <c r="H288" s="12">
        <v>14</v>
      </c>
      <c r="I288" s="18">
        <v>0.79379999999999995</v>
      </c>
      <c r="J288" s="19">
        <v>3.92</v>
      </c>
      <c r="K288" s="20">
        <f t="shared" si="14"/>
        <v>13094285.714285715</v>
      </c>
      <c r="L288" s="16">
        <v>653.70000000000005</v>
      </c>
      <c r="M288" s="16">
        <v>22.1</v>
      </c>
      <c r="N288" s="16">
        <v>773.7</v>
      </c>
      <c r="O288" s="21">
        <v>1.07</v>
      </c>
      <c r="P288" s="12">
        <v>8.86</v>
      </c>
      <c r="Q288" s="15">
        <v>5.2413150014066296</v>
      </c>
      <c r="R288" s="16">
        <v>7.25</v>
      </c>
      <c r="S288" s="22">
        <v>8.2200000000000006</v>
      </c>
      <c r="T288" s="23">
        <v>-6.3046591430969265E-3</v>
      </c>
      <c r="U288" s="24">
        <v>44.45</v>
      </c>
      <c r="V288" s="25">
        <v>20.91</v>
      </c>
      <c r="W288" s="26">
        <v>-22.714285714285712</v>
      </c>
      <c r="X288" s="21">
        <v>-80.040000000000006</v>
      </c>
    </row>
    <row r="289" spans="1:24" ht="15.5" x14ac:dyDescent="0.35">
      <c r="A289" s="39">
        <v>288</v>
      </c>
      <c r="B289" s="13" t="s">
        <v>374</v>
      </c>
      <c r="C289" s="19">
        <v>2011</v>
      </c>
      <c r="D289" s="14" t="s">
        <v>32</v>
      </c>
      <c r="E289" s="19">
        <v>175</v>
      </c>
      <c r="F289" s="41">
        <v>901.25</v>
      </c>
      <c r="G289" s="16">
        <v>14</v>
      </c>
      <c r="H289" s="12">
        <v>15</v>
      </c>
      <c r="I289" s="30">
        <v>0.93</v>
      </c>
      <c r="J289" s="19">
        <v>24.55</v>
      </c>
      <c r="K289" s="20">
        <f t="shared" si="14"/>
        <v>51500000</v>
      </c>
      <c r="L289" s="16">
        <v>22.2</v>
      </c>
      <c r="M289" s="16">
        <v>4941.8</v>
      </c>
      <c r="N289" s="16">
        <v>139687.79999999999</v>
      </c>
      <c r="O289" s="21">
        <v>2.42</v>
      </c>
      <c r="P289" s="12">
        <v>8.86</v>
      </c>
      <c r="Q289" s="15">
        <v>5.2413150014066296</v>
      </c>
      <c r="R289" s="16">
        <v>7.25</v>
      </c>
      <c r="S289" s="22">
        <v>8.2200000000000006</v>
      </c>
      <c r="T289" s="23">
        <v>1.6777017683635895</v>
      </c>
      <c r="U289" s="24">
        <v>44.3</v>
      </c>
      <c r="V289" s="25">
        <v>20.51</v>
      </c>
      <c r="W289" s="26">
        <v>0.51428571428571757</v>
      </c>
      <c r="X289" s="52">
        <v>-33.97</v>
      </c>
    </row>
    <row r="290" spans="1:24" ht="15.5" x14ac:dyDescent="0.35">
      <c r="A290" s="12">
        <v>289</v>
      </c>
      <c r="B290" s="13" t="s">
        <v>375</v>
      </c>
      <c r="C290" s="19">
        <v>2011</v>
      </c>
      <c r="D290" s="14" t="s">
        <v>29</v>
      </c>
      <c r="E290" s="19">
        <v>69</v>
      </c>
      <c r="F290" s="41">
        <v>55.88</v>
      </c>
      <c r="G290" s="16">
        <v>5</v>
      </c>
      <c r="H290" s="12">
        <v>13</v>
      </c>
      <c r="I290" s="18">
        <v>0.99939999999999996</v>
      </c>
      <c r="J290" s="19">
        <v>3.48</v>
      </c>
      <c r="K290" s="20">
        <f t="shared" si="14"/>
        <v>8098550.7246376816</v>
      </c>
      <c r="L290" s="16">
        <v>2305.4</v>
      </c>
      <c r="M290" s="16">
        <v>133.6</v>
      </c>
      <c r="N290" s="16">
        <v>3662.9</v>
      </c>
      <c r="O290" s="21">
        <v>1.24</v>
      </c>
      <c r="P290" s="12">
        <v>8.86</v>
      </c>
      <c r="Q290" s="15">
        <v>5.2413150014066296</v>
      </c>
      <c r="R290" s="16">
        <v>6.75</v>
      </c>
      <c r="S290" s="22">
        <v>8.2200000000000006</v>
      </c>
      <c r="T290" s="23">
        <v>-0.74247753028526464</v>
      </c>
      <c r="U290" s="24">
        <v>44.45</v>
      </c>
      <c r="V290" s="25">
        <v>20.91</v>
      </c>
      <c r="W290" s="26">
        <v>-30.362318840579718</v>
      </c>
      <c r="X290" s="52">
        <v>-74.92</v>
      </c>
    </row>
    <row r="291" spans="1:24" ht="15.5" x14ac:dyDescent="0.35">
      <c r="A291" s="12">
        <v>290</v>
      </c>
      <c r="B291" s="13" t="s">
        <v>376</v>
      </c>
      <c r="C291" s="19">
        <v>2011</v>
      </c>
      <c r="D291" s="14" t="s">
        <v>32</v>
      </c>
      <c r="E291" s="19">
        <v>28</v>
      </c>
      <c r="F291" s="41">
        <v>438.76</v>
      </c>
      <c r="G291" s="16">
        <v>5</v>
      </c>
      <c r="H291" s="12">
        <v>12</v>
      </c>
      <c r="I291" s="30">
        <v>1</v>
      </c>
      <c r="J291" s="19">
        <v>1.7</v>
      </c>
      <c r="K291" s="20">
        <f t="shared" si="14"/>
        <v>156700000</v>
      </c>
      <c r="L291" s="32">
        <v>2277.5</v>
      </c>
      <c r="M291" s="32">
        <v>1330.1</v>
      </c>
      <c r="N291" s="32">
        <v>18215.8</v>
      </c>
      <c r="O291" s="21">
        <v>0.69</v>
      </c>
      <c r="P291" s="12">
        <v>8.86</v>
      </c>
      <c r="Q291" s="15">
        <v>5.2413150014066296</v>
      </c>
      <c r="R291" s="16">
        <v>6.75</v>
      </c>
      <c r="S291" s="22">
        <v>8.2200000000000006</v>
      </c>
      <c r="T291" s="23">
        <v>0.89429689610988294</v>
      </c>
      <c r="U291" s="24">
        <v>45.09</v>
      </c>
      <c r="V291" s="25">
        <v>25.89</v>
      </c>
      <c r="W291" s="26">
        <v>-11.071428571428577</v>
      </c>
      <c r="X291" s="52">
        <v>-40.28</v>
      </c>
    </row>
    <row r="292" spans="1:24" ht="15.5" x14ac:dyDescent="0.35">
      <c r="A292" s="39">
        <v>291</v>
      </c>
      <c r="B292" s="13" t="s">
        <v>377</v>
      </c>
      <c r="C292" s="19">
        <v>2011</v>
      </c>
      <c r="D292" s="14" t="s">
        <v>34</v>
      </c>
      <c r="E292" s="19">
        <v>205</v>
      </c>
      <c r="F292" s="41">
        <v>93.28</v>
      </c>
      <c r="G292" s="16">
        <v>24</v>
      </c>
      <c r="H292" s="12">
        <v>13</v>
      </c>
      <c r="I292" s="18">
        <v>0.91839999999999999</v>
      </c>
      <c r="J292" s="19">
        <v>35.21</v>
      </c>
      <c r="K292" s="20">
        <f t="shared" si="14"/>
        <v>4550243.9024390243</v>
      </c>
      <c r="L292" s="16">
        <v>869.5</v>
      </c>
      <c r="M292" s="16">
        <v>100.4</v>
      </c>
      <c r="N292" s="16">
        <v>466.9</v>
      </c>
      <c r="O292" s="21">
        <v>0.01</v>
      </c>
      <c r="P292" s="12">
        <v>8.86</v>
      </c>
      <c r="Q292" s="15">
        <v>5.2413150014066296</v>
      </c>
      <c r="R292" s="16">
        <v>6.75</v>
      </c>
      <c r="S292" s="22">
        <v>8.2200000000000006</v>
      </c>
      <c r="T292" s="23">
        <v>0.76912549609962377</v>
      </c>
      <c r="U292" s="24">
        <v>45.21</v>
      </c>
      <c r="V292" s="25">
        <v>24.13</v>
      </c>
      <c r="W292" s="26">
        <v>21.731707317073177</v>
      </c>
      <c r="X292" s="52">
        <v>49.09</v>
      </c>
    </row>
    <row r="293" spans="1:24" ht="15.5" x14ac:dyDescent="0.35">
      <c r="A293" s="12">
        <v>292</v>
      </c>
      <c r="B293" s="13" t="s">
        <v>378</v>
      </c>
      <c r="C293" s="19">
        <v>2011</v>
      </c>
      <c r="D293" s="14" t="s">
        <v>29</v>
      </c>
      <c r="E293" s="19">
        <v>90</v>
      </c>
      <c r="F293" s="41">
        <v>170</v>
      </c>
      <c r="G293" s="16">
        <v>10</v>
      </c>
      <c r="H293" s="12">
        <v>14</v>
      </c>
      <c r="I293" s="30">
        <v>1</v>
      </c>
      <c r="J293" s="19">
        <v>1.28</v>
      </c>
      <c r="K293" s="20">
        <f t="shared" si="14"/>
        <v>18888888.888888888</v>
      </c>
      <c r="L293" s="16">
        <v>1068.3</v>
      </c>
      <c r="M293" s="16">
        <v>195.5</v>
      </c>
      <c r="N293" s="16">
        <v>1733.3</v>
      </c>
      <c r="O293" s="21">
        <v>0.51</v>
      </c>
      <c r="P293" s="12">
        <v>8.86</v>
      </c>
      <c r="Q293" s="15">
        <v>5.2413150014066296</v>
      </c>
      <c r="R293" s="16">
        <v>6.5</v>
      </c>
      <c r="S293" s="22">
        <v>8.2200000000000006</v>
      </c>
      <c r="T293" s="23">
        <v>-0.66172482372085273</v>
      </c>
      <c r="U293" s="24">
        <v>45.37</v>
      </c>
      <c r="V293" s="25">
        <v>28.2</v>
      </c>
      <c r="W293" s="26">
        <v>9.3888888888888928</v>
      </c>
      <c r="X293" s="29">
        <v>-85.3</v>
      </c>
    </row>
    <row r="294" spans="1:24" ht="15.5" x14ac:dyDescent="0.35">
      <c r="A294" s="12">
        <v>293</v>
      </c>
      <c r="B294" s="13" t="s">
        <v>379</v>
      </c>
      <c r="C294" s="19">
        <v>2011</v>
      </c>
      <c r="D294" s="14" t="s">
        <v>25</v>
      </c>
      <c r="E294" s="12">
        <v>70</v>
      </c>
      <c r="F294" s="41">
        <v>29.48</v>
      </c>
      <c r="G294" s="16">
        <v>7</v>
      </c>
      <c r="H294" s="12">
        <v>14</v>
      </c>
      <c r="I294" s="18">
        <v>0.99990000000000001</v>
      </c>
      <c r="J294" s="19">
        <v>1.57</v>
      </c>
      <c r="K294" s="20">
        <f t="shared" si="14"/>
        <v>4211428.5714285718</v>
      </c>
      <c r="L294" s="16">
        <v>220.8</v>
      </c>
      <c r="M294" s="16">
        <v>35</v>
      </c>
      <c r="N294" s="16">
        <v>223.2</v>
      </c>
      <c r="O294" s="21">
        <v>0</v>
      </c>
      <c r="P294" s="12">
        <v>8.86</v>
      </c>
      <c r="Q294" s="15">
        <v>5.2413150014066296</v>
      </c>
      <c r="R294" s="16">
        <v>6.5</v>
      </c>
      <c r="S294" s="22">
        <v>8.2200000000000006</v>
      </c>
      <c r="T294" s="23">
        <v>-0.89090710541642071</v>
      </c>
      <c r="U294" s="24">
        <v>45.37</v>
      </c>
      <c r="V294" s="25">
        <v>27.27</v>
      </c>
      <c r="W294" s="26">
        <v>101.28571428571429</v>
      </c>
      <c r="X294" s="29">
        <v>-59.19</v>
      </c>
    </row>
    <row r="295" spans="1:24" ht="15.5" x14ac:dyDescent="0.35">
      <c r="A295" s="39">
        <v>294</v>
      </c>
      <c r="B295" s="13" t="s">
        <v>380</v>
      </c>
      <c r="C295" s="19">
        <v>2011</v>
      </c>
      <c r="D295" s="14" t="s">
        <v>34</v>
      </c>
      <c r="E295" s="19">
        <v>77</v>
      </c>
      <c r="F295" s="41">
        <v>69.98</v>
      </c>
      <c r="G295" s="16">
        <v>9</v>
      </c>
      <c r="H295" s="12">
        <v>14</v>
      </c>
      <c r="I295" s="18">
        <v>0.90090000000000003</v>
      </c>
      <c r="J295" s="19">
        <v>1.55</v>
      </c>
      <c r="K295" s="20">
        <f t="shared" si="14"/>
        <v>9088311.6883116886</v>
      </c>
      <c r="L295" s="16">
        <v>527.70000000000005</v>
      </c>
      <c r="M295" s="16">
        <v>42.5</v>
      </c>
      <c r="N295" s="16">
        <v>587.29999999999995</v>
      </c>
      <c r="O295" s="21">
        <v>0.77</v>
      </c>
      <c r="P295" s="12">
        <v>8.86</v>
      </c>
      <c r="Q295" s="15">
        <v>5.2413150014066296</v>
      </c>
      <c r="R295" s="16">
        <v>6.5</v>
      </c>
      <c r="S295" s="22">
        <v>8.2200000000000006</v>
      </c>
      <c r="T295" s="23">
        <v>-0.89090710541642071</v>
      </c>
      <c r="U295" s="24">
        <v>45.37</v>
      </c>
      <c r="V295" s="25">
        <v>27.27</v>
      </c>
      <c r="W295" s="26">
        <v>46.883116883116877</v>
      </c>
      <c r="X295" s="29">
        <v>-34.31</v>
      </c>
    </row>
    <row r="296" spans="1:24" ht="15.5" x14ac:dyDescent="0.35">
      <c r="A296" s="12">
        <v>295</v>
      </c>
      <c r="B296" s="13" t="s">
        <v>381</v>
      </c>
      <c r="C296" s="19">
        <v>2011</v>
      </c>
      <c r="D296" s="14" t="s">
        <v>25</v>
      </c>
      <c r="E296" s="19">
        <v>98</v>
      </c>
      <c r="F296" s="41">
        <v>79.38</v>
      </c>
      <c r="G296" s="16">
        <v>6</v>
      </c>
      <c r="H296" s="12">
        <v>14</v>
      </c>
      <c r="I296" s="30">
        <v>1</v>
      </c>
      <c r="J296" s="19">
        <v>4.67</v>
      </c>
      <c r="K296" s="20">
        <f t="shared" si="14"/>
        <v>8100000</v>
      </c>
      <c r="L296" s="16">
        <v>724.2</v>
      </c>
      <c r="M296" s="16">
        <v>51.8</v>
      </c>
      <c r="N296" s="16">
        <v>612.5</v>
      </c>
      <c r="O296" s="21">
        <v>0.18</v>
      </c>
      <c r="P296" s="12">
        <v>8.86</v>
      </c>
      <c r="Q296" s="15">
        <v>5.2413150014066296</v>
      </c>
      <c r="R296" s="16">
        <v>6.5</v>
      </c>
      <c r="S296" s="22">
        <v>8.2200000000000006</v>
      </c>
      <c r="T296" s="23">
        <v>-0.52821425512272657</v>
      </c>
      <c r="U296" s="24">
        <v>45.57</v>
      </c>
      <c r="V296" s="25">
        <v>22.09</v>
      </c>
      <c r="W296" s="26">
        <v>-52.602040816326522</v>
      </c>
      <c r="X296" s="29">
        <v>24.03</v>
      </c>
    </row>
    <row r="297" spans="1:24" ht="15.5" x14ac:dyDescent="0.35">
      <c r="A297" s="12">
        <v>296</v>
      </c>
      <c r="B297" s="13" t="s">
        <v>382</v>
      </c>
      <c r="C297" s="19">
        <v>2011</v>
      </c>
      <c r="D297" s="14" t="s">
        <v>137</v>
      </c>
      <c r="E297" s="19">
        <v>70</v>
      </c>
      <c r="F297" s="41">
        <v>60</v>
      </c>
      <c r="G297" s="16">
        <v>22</v>
      </c>
      <c r="H297" s="12">
        <v>15</v>
      </c>
      <c r="I297" s="18">
        <v>0.49909999999999999</v>
      </c>
      <c r="J297" s="19">
        <v>4.03</v>
      </c>
      <c r="K297" s="20">
        <f t="shared" si="14"/>
        <v>8571428.5714285709</v>
      </c>
      <c r="L297" s="16">
        <v>129.4</v>
      </c>
      <c r="M297" s="16">
        <v>0.4</v>
      </c>
      <c r="N297" s="16">
        <v>672.7</v>
      </c>
      <c r="O297" s="21">
        <v>0</v>
      </c>
      <c r="P297" s="12">
        <v>8.86</v>
      </c>
      <c r="Q297" s="15">
        <v>5.2413150014066296</v>
      </c>
      <c r="R297" s="16">
        <v>6.5</v>
      </c>
      <c r="S297" s="22">
        <v>8.2200000000000006</v>
      </c>
      <c r="T297" s="23">
        <v>-1.461124591201594</v>
      </c>
      <c r="U297" s="24">
        <v>45.16</v>
      </c>
      <c r="V297" s="25">
        <v>21.41</v>
      </c>
      <c r="W297" s="26">
        <v>-17.071428571428577</v>
      </c>
      <c r="X297" s="29">
        <v>47.37</v>
      </c>
    </row>
    <row r="298" spans="1:24" x14ac:dyDescent="0.35">
      <c r="A298" s="55"/>
    </row>
  </sheetData>
  <conditionalFormatting sqref="A1:F1 L1:M1 X1 L42:M151 M152 L153:M239 L240 L241:M284 L285 L286:M297">
    <cfRule type="containsBlanks" dxfId="23" priority="15">
      <formula>LEN(TRIM(A1))=0</formula>
    </cfRule>
  </conditionalFormatting>
  <conditionalFormatting sqref="B42:F297 A43 A46 A49 A52 A55 A58 A61 A64 A67 A70 A73 A76 A79 A82 A85 A88 A91 A94 A97 A100 A103 A106 A109 A112 A115 A118 A121 A124 A127 A130 A133 A136 A139 A142 A145 A148 X150 A151 A154 A157 A160 X161 A163 A166 A169 A172 A175 A178 A181 A184 A187 A190 A193 A196 A199 A202 A205 A208 A211 A214 A217 A220 A223 A226 A229 A232 A235 A238 A241 A244 A247 A250 A253 A256 A259 A262 N262:O262 A265 A268 A271 A274 A277 A280 A283 A286 A289 A292 A295">
    <cfRule type="containsBlanks" dxfId="22" priority="23">
      <formula>LEN(TRIM(A42))=0</formula>
    </cfRule>
    <cfRule type="containsBlanks" dxfId="21" priority="24">
      <formula>LEN(TRIM(A42))=0</formula>
    </cfRule>
  </conditionalFormatting>
  <conditionalFormatting sqref="H42:H297">
    <cfRule type="containsBlanks" dxfId="20" priority="16">
      <formula>LEN(TRIM(H42))=0</formula>
    </cfRule>
    <cfRule type="containsBlanks" dxfId="19" priority="17">
      <formula>LEN(TRIM(H42))=0</formula>
    </cfRule>
  </conditionalFormatting>
  <conditionalFormatting sqref="J1 J42:J297">
    <cfRule type="containsBlanks" dxfId="18" priority="21">
      <formula>LEN(TRIM(J1))=0</formula>
    </cfRule>
  </conditionalFormatting>
  <conditionalFormatting sqref="J42:J297">
    <cfRule type="containsBlanks" dxfId="17" priority="22">
      <formula>LEN(TRIM(J42))=0</formula>
    </cfRule>
  </conditionalFormatting>
  <conditionalFormatting sqref="L42:M151 M152 L153:M239 L240 L241:M284 L285 L286:M297">
    <cfRule type="containsBlanks" dxfId="16" priority="20">
      <formula>LEN(TRIM(L42))=0</formula>
    </cfRule>
  </conditionalFormatting>
  <conditionalFormatting sqref="O124:O149">
    <cfRule type="containsBlanks" dxfId="15" priority="13">
      <formula>LEN(TRIM(O124))=0</formula>
    </cfRule>
    <cfRule type="containsBlanks" dxfId="14" priority="14">
      <formula>LEN(TRIM(O124))=0</formula>
    </cfRule>
  </conditionalFormatting>
  <conditionalFormatting sqref="O153:O159">
    <cfRule type="containsBlanks" dxfId="13" priority="11">
      <formula>LEN(TRIM(O153))=0</formula>
    </cfRule>
    <cfRule type="containsBlanks" dxfId="12" priority="12">
      <formula>LEN(TRIM(O153))=0</formula>
    </cfRule>
  </conditionalFormatting>
  <conditionalFormatting sqref="O188:O189">
    <cfRule type="containsBlanks" dxfId="11" priority="9">
      <formula>LEN(TRIM(O188))=0</formula>
    </cfRule>
    <cfRule type="containsBlanks" dxfId="10" priority="10">
      <formula>LEN(TRIM(O188))=0</formula>
    </cfRule>
  </conditionalFormatting>
  <conditionalFormatting sqref="O202">
    <cfRule type="containsBlanks" dxfId="9" priority="7">
      <formula>LEN(TRIM(O202))=0</formula>
    </cfRule>
    <cfRule type="containsBlanks" dxfId="8" priority="8">
      <formula>LEN(TRIM(O202))=0</formula>
    </cfRule>
  </conditionalFormatting>
  <conditionalFormatting sqref="O245">
    <cfRule type="containsBlanks" dxfId="7" priority="5">
      <formula>LEN(TRIM(O245))=0</formula>
    </cfRule>
    <cfRule type="containsBlanks" dxfId="6" priority="6">
      <formula>LEN(TRIM(O245))=0</formula>
    </cfRule>
  </conditionalFormatting>
  <conditionalFormatting sqref="O251:O255">
    <cfRule type="containsBlanks" dxfId="5" priority="3">
      <formula>LEN(TRIM(O251))=0</formula>
    </cfRule>
    <cfRule type="containsBlanks" dxfId="4" priority="4">
      <formula>LEN(TRIM(O251))=0</formula>
    </cfRule>
  </conditionalFormatting>
  <conditionalFormatting sqref="O257:O261">
    <cfRule type="containsBlanks" dxfId="3" priority="1">
      <formula>LEN(TRIM(O257))=0</formula>
    </cfRule>
    <cfRule type="containsBlanks" dxfId="2" priority="2">
      <formula>LEN(TRIM(O257))=0</formula>
    </cfRule>
  </conditionalFormatting>
  <conditionalFormatting sqref="P42:Q297">
    <cfRule type="containsBlanks" dxfId="1" priority="18">
      <formula>LEN(TRIM(P42))=0</formula>
    </cfRule>
    <cfRule type="containsBlanks" dxfId="0" priority="19">
      <formula>LEN(TRIM(P42))=0</formula>
    </cfRule>
  </conditionalFormatting>
  <hyperlinks>
    <hyperlink ref="B82" r:id="rId1" tooltip="G R Infraprojects IPO Deatails" display="https://www.chittorgarh.com/ipo/g-r-infraprojects-ipo/1122/" xr:uid="{9BB10AD0-ABD2-434F-95BD-A3833CBCB835}"/>
    <hyperlink ref="B83" r:id="rId2" tooltip="India Pesticides IPO Deatails" display="https://www.chittorgarh.com/ipo/india-pesticides-ipo/1119/" xr:uid="{08B7C78C-1650-459B-A302-0F4CEA4B9B34}"/>
    <hyperlink ref="B84" r:id="rId3" tooltip="KIMS IPO Deatails" display="https://www.chittorgarh.com/ipo/kims-ipo/1115/" xr:uid="{7747DFD8-B645-4E44-A4DA-D2B95FB0ADD6}"/>
    <hyperlink ref="B85" r:id="rId4" tooltip="Dodla Dairy IPO Deatails" display="https://www.chittorgarh.com/ipo/dodla-dairy-ipo/1114/" xr:uid="{90366485-6775-405A-A724-1DFB5755103A}"/>
    <hyperlink ref="B86" r:id="rId5" tooltip="Sona Comstar IPO Deatails" display="https://www.chittorgarh.com/ipo/sona-comstar-ipo/1112/" xr:uid="{3F3E683F-C3B3-4AC9-8D93-B954F49EB95D}"/>
    <hyperlink ref="B87" r:id="rId6" tooltip="Shyam Metalics IPO Deatails" display="https://www.chittorgarh.com/ipo/shyam-metalics-ipo/1109/" xr:uid="{73985FD1-6A2D-458B-9E09-032EDFC1C9B7}"/>
    <hyperlink ref="B88" r:id="rId7" tooltip="Lodha Developers IPO Deatails" display="https://www.chittorgarh.com/ipo/lodha-developers-ipo/1107/" xr:uid="{C9903C40-A9FD-4240-AC8D-BFB3F49A499C}"/>
    <hyperlink ref="B89" r:id="rId8" tooltip="Barbeque Nation IPO Deatails" display="https://www.chittorgarh.com/ipo/barbeque-nation-ipo/1102/" xr:uid="{32C38018-079C-465E-B704-86B123ECF124}"/>
    <hyperlink ref="B90" r:id="rId9" tooltip="Suryoday Small Finance Bank IPO Deatails" display="https://www.chittorgarh.com/ipo/suryoday-small-finance-bank-ipo/1099/" xr:uid="{20B8B05E-70A7-4C70-ADCA-ED1AD99118B8}"/>
    <hyperlink ref="B91" r:id="rId10" tooltip="Nazara Technologies IPO Deatails" display="https://www.chittorgarh.com/ipo/nazara-technologies-ipo/1092/" xr:uid="{10578DF9-A018-42A0-B9C6-26E550E3743E}"/>
    <hyperlink ref="B92" r:id="rId11" tooltip="Kalyan Jewellers IPO Deatails" display="https://www.chittorgarh.com/ipo/kalyan-jewellers-ipo/1098/" xr:uid="{B4CA6717-D2B1-4BCB-BF7B-D398B05E99C6}"/>
    <hyperlink ref="B93" r:id="rId12" tooltip="Laxmi Organic IPO Deatails" display="https://www.chittorgarh.com/ipo/laxmi-organic-ipo/1096/" xr:uid="{A9411701-2ED2-4281-9586-09CAEA47078D}"/>
    <hyperlink ref="B94" r:id="rId13" tooltip="Craftsman Automation IPO Deatails" display="https://www.chittorgarh.com/ipo/craftsman-automation-ipo/1095/" xr:uid="{9C4DFC34-4E70-4C5F-B60E-AA9FC05ACA0B}"/>
    <hyperlink ref="B95" r:id="rId14" tooltip="Anupam Rasayan IPO Deatails" display="https://www.chittorgarh.com/ipo/anupam-rasayan-ipo/1097/" xr:uid="{CD2C6DD0-585D-4A34-A972-7093AC827E4B}"/>
    <hyperlink ref="B96" r:id="rId15" tooltip="EaseMyTrip IPO Deatails" display="https://www.chittorgarh.com/ipo/easemytrip-ipo/1089/" xr:uid="{DE7F9FFE-FD20-4FE2-B23F-7A403AE493CD}"/>
    <hyperlink ref="B97" r:id="rId16" tooltip="MTAR Technologies IPO Deatails" display="https://www.chittorgarh.com/ipo/mtar-technologies-ipo/1088/" xr:uid="{D94FE588-463B-4703-B675-C9A1E277FB3D}"/>
    <hyperlink ref="B98" r:id="rId17" tooltip="Heranba Industries IPO Deatails" display="https://www.chittorgarh.com/ipo/heranba-industries-ipo/1085/" xr:uid="{C0ECAB2C-39FE-4205-82AA-857915671DFF}"/>
    <hyperlink ref="B99" r:id="rId18" tooltip="RailTel IPO Deatails" display="https://www.chittorgarh.com/ipo/railtel-ipo/1073/" xr:uid="{9981FD7B-37D1-412F-9B3C-5C1B4DE44DBA}"/>
    <hyperlink ref="B100" r:id="rId19" tooltip="Nureca limited IPO Deatails" display="https://www.chittorgarh.com/ipo/nureca-limited-ipo/1084/" xr:uid="{147B14DE-3F43-421D-9AA2-E6A92DA532DB}"/>
    <hyperlink ref="B101" r:id="rId20" tooltip="Stove Kraft IPO Deatails" display="https://www.chittorgarh.com/ipo/stove-kraft-ipo/1081/" xr:uid="{EC55AF07-A0D0-4BB6-8F06-451988974DFE}"/>
    <hyperlink ref="B102" r:id="rId21" tooltip="Home First Finance IPO Deatails" display="https://www.chittorgarh.com/ipo/home-first-finance-ipo/1080/" xr:uid="{78BCBF95-3C25-48F6-8D6E-6CFC9874C9F6}"/>
    <hyperlink ref="B103" r:id="rId22" tooltip="Indigo Paints IPO Deatails" display="https://www.chittorgarh.com/ipo/indigo-paints-ipo/1079/" xr:uid="{ECC54835-C76C-42B3-BA94-5AEC347AA5B7}"/>
    <hyperlink ref="B104" r:id="rId23" tooltip="IRFC IPO Deatails" display="https://www.chittorgarh.com/ipo/irfc-ipo/1076/" xr:uid="{9E75298C-4E67-4421-B0D6-55E2AD394ABE}"/>
    <hyperlink ref="B105" r:id="rId24" tooltip="Antony Waste IPO Deatails" display="https://www.chittorgarh.com/ipo/antony-waste-ipo/1078/" xr:uid="{DC26557A-F49F-4733-B2F1-F0517F69ACB9}"/>
    <hyperlink ref="B106" r:id="rId25" tooltip="Mrs. Bectors Food IPO Deatails" display="https://www.chittorgarh.com/ipo/mrs-bectors-food-ipo/1077/" xr:uid="{60103BF3-C51B-4DD1-98F3-20B82BF44637}"/>
    <hyperlink ref="B107" r:id="rId26" tooltip="Burger King IPO Deatails" display="https://www.chittorgarh.com/ipo/burger-king-ipo/1075/" xr:uid="{54C13D4B-C7D8-454F-AFBE-BC1C54DF7C8C}"/>
    <hyperlink ref="B108" r:id="rId27" tooltip="Gland Pharma IPO Deatails" display="https://www.chittorgarh.com/ipo/gland-pharma-ipo/1072/" xr:uid="{2B8479BE-ADD4-4EBA-BD4D-2CD88E45C56F}"/>
    <hyperlink ref="B109" r:id="rId28" tooltip="Equitas Small Finance Bank IPO Deatails" display="https://www.chittorgarh.com/ipo/equitas-small-finance-bank-ipo/1040/" xr:uid="{362C0CE1-5678-4791-982C-342E5125BD28}"/>
    <hyperlink ref="B110" r:id="rId29" tooltip="Likhitha Infrastructure IPO Deatails" display="https://www.chittorgarh.com/ipo/likhitha-infrastructure-ipo/1062/" xr:uid="{F9B18CDC-71D5-48E3-A518-679324AF72F7}"/>
    <hyperlink ref="B111" r:id="rId30" tooltip="Mazagon Dock IPO Deatails" display="https://www.chittorgarh.com/ipo/mazagon-dock-ipo/1064/" xr:uid="{B5D999A1-E48E-4037-A48B-264713B7486D}"/>
    <hyperlink ref="B112" r:id="rId31" tooltip="UTI AMC IPO Deatails" display="https://www.chittorgarh.com/ipo/uti-amc-ipo/1052/" xr:uid="{B4D150FC-3EA6-4EC7-8194-4CA1B6B3369B}"/>
    <hyperlink ref="B113" r:id="rId32" tooltip="Angel One IPO Deatails" display="https://www.chittorgarh.com/ipo/angel-broking-ipo/1057/" xr:uid="{32CE6BF3-476D-4353-A35D-19106195E7C6}"/>
    <hyperlink ref="B114" r:id="rId33" tooltip="CAMS IPO Deatails" display="https://www.chittorgarh.com/ipo/cams-ipo/1055/" xr:uid="{9DA58953-6DA5-4305-ACDD-E08B994A1618}"/>
    <hyperlink ref="B115" r:id="rId34" tooltip="Chemcon IPO Deatails" display="https://www.chittorgarh.com/ipo/chemcon-ipo/1060/" xr:uid="{72577DA2-C21C-4070-8BF2-35DA0A7C2DDE}"/>
    <hyperlink ref="B116" r:id="rId35" tooltip="Route Mobile IPO Deatails" display="https://www.chittorgarh.com/ipo/route-mobile-ipo/1058/" xr:uid="{94F3164C-9D34-46D3-98AF-FFF6CAB081AF}"/>
    <hyperlink ref="B117" r:id="rId36" tooltip="Happiest Minds IPO Deatails" display="https://www.chittorgarh.com/ipo/happiest-minds-ipo/1056/" xr:uid="{3A423A0A-F9B4-4C87-B260-943D34E9199E}"/>
    <hyperlink ref="B118" r:id="rId37" tooltip="Rossari Biotech IPO Deatails" display="https://www.chittorgarh.com/ipo/rossari-biotech-ipo/1049/" xr:uid="{A826CA7D-F215-4D5E-9283-C66F427D6213}"/>
    <hyperlink ref="B119" r:id="rId38" tooltip="SBI Cards IPO Deatails" display="https://www.chittorgarh.com/ipo/sbi-cards-ipo/1025/" xr:uid="{00B72804-3ED6-42D7-A314-44B8261CEECE}"/>
    <hyperlink ref="B120" r:id="rId39" tooltip="Prince Pipes IPO Deatails" display="https://www.chittorgarh.com/ipo/prince-pipes-ipo/1027/" xr:uid="{1C0C0653-0C58-45E2-9A68-D864FA6B95F0}"/>
    <hyperlink ref="B121" r:id="rId40" tooltip="Ujjivan Bank IPO Deatails" display="https://www.chittorgarh.com/ipo/ujjivan-bank-ipo/1023/" xr:uid="{B4971A8E-16A5-4F40-A49D-48809A2BC2AB}"/>
    <hyperlink ref="B122" r:id="rId41" tooltip="CSB Bank IPO Deatails" display="https://www.chittorgarh.com/ipo/csb-bank-ipo/1021/" xr:uid="{05AF66CC-9A6A-4A6C-BC73-BE59164E737E}"/>
    <hyperlink ref="B123" r:id="rId42" tooltip="IRCTC IPO Deatails" display="https://www.chittorgarh.com/ipo/irctc-ipo/1018/" xr:uid="{83EDDC17-F1B5-47CC-8D92-72C7A0730ECC}"/>
    <hyperlink ref="B124" r:id="rId43" tooltip="Vishwaraj IPO Deatails" display="https://www.chittorgarh.com/ipo/vishwaraj-ipo/1016/" xr:uid="{7289D15F-4645-48C2-9F96-272E03D8814C}"/>
    <hyperlink ref="B125" r:id="rId44" tooltip="Sterling and Wilson IPO Deatails" display="https://www.chittorgarh.com/ipo/sterling-and-wilson-ipo/1007/" xr:uid="{2B5D3898-7844-40F9-9679-8FFDFCD9182D}"/>
    <hyperlink ref="B126" r:id="rId45" tooltip="Spandana Sphoorty IPO Deatails" display="https://www.chittorgarh.com/ipo/spandana-sphoorty-ipo/1006/" xr:uid="{37A8D1BB-EF59-4EA9-95C8-B9E8DCDB3D1D}"/>
    <hyperlink ref="B127" r:id="rId46" tooltip="Affle IPO Deatails" display="https://www.chittorgarh.com/ipo/affle-ipo/1005/" xr:uid="{7E100576-BD73-4BA1-B499-D49FBAB5E9EB}"/>
    <hyperlink ref="B128" r:id="rId47" tooltip="IndiaMart IPO Deatails" display="https://www.chittorgarh.com/ipo/india-mart-ipo/998/" xr:uid="{F4DCE0AA-D82C-41E0-AFB2-A9110885DBC4}"/>
    <hyperlink ref="B129" r:id="rId48" tooltip="Neogen Chemicals IPO Deatails" display="https://www.chittorgarh.com/ipo/neogen-chemicals-ipo/984/" xr:uid="{B99BBED2-AEAD-4A2B-9848-9ADE82121CEC}"/>
    <hyperlink ref="B130" r:id="rId49" tooltip="Polycab IPO Deatails" display="https://www.chittorgarh.com/ipo/polycab-ipo/979/" xr:uid="{CB40C44B-F801-49D8-B1EC-AC4998F7E64C}"/>
    <hyperlink ref="B131" r:id="rId50" tooltip="Metropolis IPO Deatails" display="https://www.chittorgarh.com/ipo/metropolis-ipo/978/" xr:uid="{2F4CAABB-501B-45EA-A7E3-784FE46D7A4B}"/>
    <hyperlink ref="B132" r:id="rId51" tooltip="Rail Vikas IPO Deatails" display="https://www.chittorgarh.com/ipo/rail-vikas-ipo/980/" xr:uid="{41B7A00D-1DFE-4A1E-A28E-4079066EA78E}"/>
    <hyperlink ref="B133" r:id="rId52" tooltip="MSTC IPO Deatails" display="https://www.chittorgarh.com/ipo/mstc-limited-ipo/969/" xr:uid="{396CB18A-257D-4861-A9C5-8474C7C59415}"/>
    <hyperlink ref="B134" r:id="rId53" tooltip="Chalet Hotels Limited IPO Deatails" display="https://www.chittorgarh.com/ipo/chalet-hotels-ipo/917/" xr:uid="{8B674936-B7B5-4D18-85C4-139CAD1E7849}"/>
    <hyperlink ref="B135" r:id="rId54" tooltip="Xelpmoc Design and Tech IPO Deatails" display="https://www.chittorgarh.com/ipo/xelpmoc-design-tech-ipo/936/" xr:uid="{70DCD104-46AB-4493-ACC2-7D76BD4B5FBA}"/>
    <hyperlink ref="B136" r:id="rId55" tooltip="Aavas Financiers IPO Deatails" display="https://www.chittorgarh.com/ipo/aavas-financiers-ipo/925/" xr:uid="{6639FE4C-7797-49A5-AC57-0444E13AE806}"/>
    <hyperlink ref="B137" r:id="rId56" tooltip="Garden Reach Shipbuilders IPO Deatails" display="https://www.chittorgarh.com/ipo/garden-reach-shipbuilders-ipo/921/" xr:uid="{CC79982B-F4E8-49AB-919E-BAF0F56DD511}"/>
    <hyperlink ref="B138" r:id="rId57" tooltip="IRCON International IPO Deatails" display="https://www.chittorgarh.com/ipo/ircon-international-ipo/922/" xr:uid="{7C358598-B1F3-47FE-BD0E-021996277885}"/>
    <hyperlink ref="B139" r:id="rId58" tooltip="CreditAccess Grameen IPO Deatails" display="https://www.chittorgarh.com/ipo/creditaccess-grameen-ipo/900/" xr:uid="{3EDB5FE7-ED27-4B2C-B52C-1C4696CB54CB}"/>
    <hyperlink ref="B140" r:id="rId59" tooltip="HDFC AMC IPO Deatails" display="https://www.chittorgarh.com/ipo/hdfc-amc-ipo/897/" xr:uid="{50D93CC8-3131-4F5E-BCFA-562F638E5590}"/>
    <hyperlink ref="B141" r:id="rId60" tooltip="TCNS Clothing IPO Deatails" display="https://www.chittorgarh.com/ipo/tcns-clothing-ipo/904/" xr:uid="{094B516A-4E02-4CA4-ABB5-88C94BBCC1B5}"/>
    <hyperlink ref="B142" r:id="rId61" tooltip="Varroc Engineering IPO Deatails" display="https://www.chittorgarh.com/ipo/varroc-engineering-ipo/891/" xr:uid="{D6056522-1EC3-4B4B-84FC-6618B5D7B8B2}"/>
    <hyperlink ref="B143" r:id="rId62" tooltip="Fine Organic IPO Deatails" display="https://www.chittorgarh.com/ipo/fine-organic-ipo/887/" xr:uid="{698E83FD-2C69-4C83-893B-D6FEB940158A}"/>
    <hyperlink ref="B144" r:id="rId63" tooltip="RITES Limited IPO Deatails" display="https://www.chittorgarh.com/ipo/rites-limited-ipo/886/" xr:uid="{95AD009E-3710-41CE-AB24-1FF9E4FD7C0B}"/>
    <hyperlink ref="B145" r:id="rId64" tooltip="IndoStar Capital Finance IPO Deatails" display="https://www.chittorgarh.com/ipo/indostar-capital-finance-ipo/866/" xr:uid="{76DCFC36-DBD0-43EC-B8A4-F656DFF74555}"/>
    <hyperlink ref="B146" r:id="rId65" tooltip="Lemon Tree Hotels IPO Deatails" display="https://www.chittorgarh.com/ipo/lemon-tree-ipo/846/" xr:uid="{6A32D680-0625-4271-8E71-6B9BF735E918}"/>
    <hyperlink ref="B147" r:id="rId66" tooltip="ICICI Securities IPO Deatails" display="https://www.chittorgarh.com/ipo/icici-securities-ipo/839/" xr:uid="{9C03C03D-7491-48FA-809A-D04881CBC1EE}"/>
    <hyperlink ref="B148" r:id="rId67" tooltip="Mishra Dhatu Nigam IPO Deatails" display="https://www.chittorgarh.com/ipo/mishra-dhatu-nigam-ipo/835/" xr:uid="{F84D32A1-027C-4EDF-99B8-34BA78ED5F33}"/>
    <hyperlink ref="B149" r:id="rId68" tooltip="Sandhar Technologies IPO Deatails" display="https://www.chittorgarh.com/ipo/sandhar-technologies-ipo/834/" xr:uid="{1980CB38-332E-4844-878C-7E1322B5864C}"/>
    <hyperlink ref="B150" r:id="rId69" tooltip="Karda Construction IPO Deatails" display="https://www.chittorgarh.com/ipo/karda-construction-ipo/832/" xr:uid="{E3FB0669-EE3A-4C21-8877-3F53387081B3}"/>
    <hyperlink ref="B151" r:id="rId70" tooltip="Hindustan Aeronautics IPO Deatails" display="https://www.chittorgarh.com/ipo/hindustan-aeronautics-ipo/831/" xr:uid="{D234D63A-6FD9-4326-B9CF-ACD985CB5466}"/>
    <hyperlink ref="B152" r:id="rId71" tooltip="Bandhan Bank IPO Deatails" display="https://www.chittorgarh.com/ipo/bandhan-bank-ipo/822/" xr:uid="{98CFAFBB-F08C-4FD5-B38A-1FC2BDA30544}"/>
    <hyperlink ref="B153" r:id="rId72" tooltip="Bharat Dynamics IPO Deatails" display="https://www.chittorgarh.com/ipo/bharat-dynamics-ipo/827/" xr:uid="{1AC2E1BE-E5BB-462C-A50A-32EC9FF8F3A6}"/>
    <hyperlink ref="B154" r:id="rId73" tooltip="HG Infra IPO Deatails" display="https://www.chittorgarh.com/ipo/hg-infra-ipo/816/" xr:uid="{22D1F897-AB2D-4976-9D03-699040F5077E}"/>
    <hyperlink ref="B155" r:id="rId74" tooltip="Aster DM Healthcare IPO Deatails" display="https://www.chittorgarh.com/ipo/aster-dm-healthcare-ipo/810/" xr:uid="{DD48C2C9-0D25-4D4E-AE8C-DB54E6395AE7}"/>
    <hyperlink ref="B156" r:id="rId75" tooltip="Galaxy Surfactants IPO Deatails" display="https://www.chittorgarh.com/ipo/galaxy-surfactants-ipo/798/" xr:uid="{A57331B2-8920-4761-BB53-1E9E55055233}"/>
    <hyperlink ref="B157" r:id="rId76" tooltip="Amber Enterprises IPO Deatails" display="https://www.chittorgarh.com/ipo/amber-enterprises-ipo/792/" xr:uid="{E153D3A9-94D7-470A-9C04-5EFCD435EE49}"/>
    <hyperlink ref="B158" r:id="rId77" tooltip="Newgen Software IPO Deatails" display="https://www.chittorgarh.com/ipo/newgen-software-ipo/791/" xr:uid="{1C00642D-C3EB-4EB1-AE56-7E13F80C4A32}"/>
    <hyperlink ref="B159" r:id="rId78" tooltip="Apollo Micro Systems IPO Deatails" display="https://www.chittorgarh.com/ipo/apollo-micro-systems-ipo/788/" xr:uid="{24A7229E-55B5-4DC6-BE43-443B4958C6D8}"/>
    <hyperlink ref="B160" r:id="rId79" tooltip="Astron Paper IPO Deatails" display="https://www.chittorgarh.com/ipo/astron-paper-ipo/757/" xr:uid="{F060AC00-DC81-4D02-BB68-B91057966021}"/>
    <hyperlink ref="B161" r:id="rId80" tooltip="Future Supply Chain IPO Deatails" display="https://www.chittorgarh.com/ipo/future-supply-chain-ipo/771/" xr:uid="{194E6C4B-4005-4E5D-94BA-351881EEC12D}"/>
    <hyperlink ref="B162" r:id="rId81" tooltip="Shalby Hospital IPO Deatails" display="https://www.chittorgarh.com/ipo/shalby-hospital-ipo/772/" xr:uid="{2B3DD94B-0269-486E-99C4-0980708E3DF6}"/>
    <hyperlink ref="B163" r:id="rId82" tooltip="HDFC Life IPO Deatails" display="https://www.chittorgarh.com/ipo/hdfc-life-ipo/756/" xr:uid="{1E8A0398-43F8-4CD6-A870-8B18B897BE8D}"/>
    <hyperlink ref="B164" r:id="rId83" tooltip="Khadim India IPO Deatails" display="https://www.chittorgarh.com/ipo/khadim-india-ipo/755/" xr:uid="{0568DB5C-A3CF-4C76-98A2-48D14B6543EF}"/>
    <hyperlink ref="B165" r:id="rId84" tooltip="New India Assurance IPO Deatails" display="https://www.chittorgarh.com/ipo/new-india-assurance-ipo/754/" xr:uid="{4772B7FB-6CEA-4DF7-8B02-0CAAB5C3FDFE}"/>
    <hyperlink ref="B166" r:id="rId85" tooltip="Mahindra Logistics IPO Deatails" display="https://www.chittorgarh.com/ipo/mahindra-logistics-ipo/753/" xr:uid="{2DF3D256-0C88-42F3-9A67-F7CC937CB6F5}"/>
    <hyperlink ref="B167" r:id="rId86" tooltip="Reliance Nippon Life IPO Deatails" display="https://www.chittorgarh.com/ipo/reliance-nippon-life-ipo/752/" xr:uid="{D0663BF3-F2C2-4E2C-8ACF-F0FB35D3048F}"/>
    <hyperlink ref="B168" r:id="rId87" tooltip="General Insurance Corporation IPO Deatails" display="https://www.chittorgarh.com/ipo/general-insurance-corporation-ipo/748/" xr:uid="{E4654211-6DB9-448B-8CB3-67C5C0C9300B}"/>
    <hyperlink ref="B169" r:id="rId88" tooltip="Indian Energy Exchange IPO Deatails" display="https://www.chittorgarh.com/ipo/indian-energy-exchange-iex-ipo/746/" xr:uid="{94006A80-1693-4DCD-816A-DB49B7A2DCCE}"/>
    <hyperlink ref="B170" r:id="rId89" tooltip="MAS Financial IPO Deatails" display="https://www.chittorgarh.com/ipo/mas-financial-ipo/739/" xr:uid="{1062D29F-C508-4B2D-B44E-7F7B3C566C21}"/>
    <hyperlink ref="B171" r:id="rId90" tooltip="Godrej Agrovet IPO Deatails" display="https://www.chittorgarh.com/ipo/godrej-agrovet-ipo/734/" xr:uid="{B3F9E827-15F3-4A02-AE7B-F12B30BC0A17}"/>
    <hyperlink ref="B172" r:id="rId91" tooltip="Prataap Snacks Deatails" display="https://www.chittorgarh.com/ipo/prataap-snacks/707/" xr:uid="{3A44115B-B2E9-488F-8C4A-B103CC785D54}"/>
    <hyperlink ref="B173" r:id="rId92" tooltip="SBI Life Insurance IPO Deatails" display="https://www.chittorgarh.com/ipo/sbi-life-insurance-ipo/713/" xr:uid="{227BC0FF-CAD0-461E-9710-34CFE475278C}"/>
    <hyperlink ref="B174" r:id="rId93" tooltip="ICICI Lombard IPO Deatails" display="https://www.chittorgarh.com/ipo/icici-lombard-ipo/714/" xr:uid="{5A5CDDED-30CF-4303-8BAF-3D1263FB9872}"/>
    <hyperlink ref="B175" r:id="rId94" tooltip="Capacite Infra IPO Deatails" display="https://www.chittorgarh.com/ipo/capacite-infra-ipo/711/" xr:uid="{20A4053D-29F2-408C-A7F0-1088B51081F1}"/>
    <hyperlink ref="B176" r:id="rId95" tooltip="Matrimony IPO Deatails" display="https://www.chittorgarh.com/ipo/matrimony-ipo/710/" xr:uid="{FD086B6C-2402-427F-BBB1-ABA1460F92A8}"/>
    <hyperlink ref="B177" r:id="rId96" tooltip="Dixon IPO Deatails" display="https://www.chittorgarh.com/ipo/dixon-ipo/705/" xr:uid="{454FABF8-0B2E-4DB8-8BAF-E2008CB1187D}"/>
    <hyperlink ref="B178" r:id="rId97" tooltip="Bharat Road Network IPO Deatails" display="https://www.chittorgarh.com/ipo/bharat-road-network-ipo/703/" xr:uid="{EBFA50BE-C25B-4254-8324-D85608C9D888}"/>
    <hyperlink ref="B179" r:id="rId98" tooltip="Apex Frozen Foods IPO Deatails" display="https://www.chittorgarh.com/ipo/apex-frozen-foods-ipo/698/" xr:uid="{B61AB6EF-8E2F-4BB8-9DBF-D5ED5AE9ADA1}"/>
    <hyperlink ref="B180" r:id="rId99" tooltip="Cochin Shipyard IPO Deatails" display="https://www.chittorgarh.com/ipo/cochin-shipyard-ipo/684/" xr:uid="{C55D17D9-2839-40DE-A2C4-7A498EC3F03C}"/>
    <hyperlink ref="B181" r:id="rId100" tooltip="SiS IPO Deatails" display="https://www.chittorgarh.com/ipo/sis-ipo/690/" xr:uid="{91F2CBC9-E0D3-4726-B647-0AB322839930}"/>
    <hyperlink ref="B182" r:id="rId101" tooltip="Salasar Techno IPO Deatails" display="https://www.chittorgarh.com/ipo/salasar-techno-ipo/683/" xr:uid="{4A9B226A-6ED9-461E-85E2-03C7B815A550}"/>
    <hyperlink ref="B183" r:id="rId102" tooltip="Au Financiers IPO Deatails" display="https://www.chittorgarh.com/ipo/au-financiers-ipo/672/" xr:uid="{AC78FF60-5A80-4D08-AAA0-0B4DB9AFA0B5}"/>
    <hyperlink ref="B184" r:id="rId103" tooltip="GTPL Hathway IPO Deatails" display="https://www.chittorgarh.com/ipo/gtpl-hathway-ipo/669/" xr:uid="{16C53F32-858A-444A-BA62-ADA59CAA4386}"/>
    <hyperlink ref="B185" r:id="rId104" tooltip="CDSL IPO Deatails" display="https://www.chittorgarh.com/ipo/cdsl-ipo/620/" xr:uid="{BE21FA87-7DAD-4C67-AE94-01591C5D8474}"/>
    <hyperlink ref="B186" r:id="rId105" tooltip="Eris Lifesciences IPO Deatails" display="https://www.chittorgarh.com/ipo/eris-lifesciences-ipo/668/" xr:uid="{5D31A3AB-FB07-4340-8D92-BFF23701BBB2}"/>
    <hyperlink ref="B187" r:id="rId106" tooltip="Tejas Networks IPO Deatails" display="https://www.chittorgarh.com/ipo/tejas-networks-ipo/667/" xr:uid="{C2B7A84C-5A78-497E-802A-96C9D882D8D7}"/>
    <hyperlink ref="B188" r:id="rId107" tooltip="PSP Projects IPO Deatails" display="https://www.chittorgarh.com/ipo/psp-projects-ipo/660/" xr:uid="{9E111FC3-F471-44D0-B58B-ABBF2D0B0FCE}"/>
    <hyperlink ref="B189" r:id="rId108" tooltip="HUDCO IPO Deatails" display="https://www.chittorgarh.com/ipo/hudco-ipo/645/" xr:uid="{86FFBE2F-D7E2-4439-87A4-8499070A017B}"/>
    <hyperlink ref="B190" r:id="rId109" tooltip="S Chand and Company IPO Deatails" display="https://www.chittorgarh.com/ipo/s-chand-and-company-ipo/651/" xr:uid="{B8F20954-BEF9-4C00-BAEA-200F5D90C581}"/>
    <hyperlink ref="B191" r:id="rId110" tooltip="Shankara Buildpro IPO Deatails" display="https://www.chittorgarh.com/ipo/shankara-buildpro-ipo/635/" xr:uid="{79908D15-64F7-45E9-8B02-8A6D403E9427}"/>
    <hyperlink ref="B192" r:id="rId111" tooltip="CL Educate IPO Deatails" display="https://www.chittorgarh.com/ipo/cl-educate-ipo/631/" xr:uid="{6D728EDB-527D-4795-AC51-BD716EB84AF6}"/>
    <hyperlink ref="B193" r:id="rId112" tooltip="Radio City IPO Deatails" display="https://www.chittorgarh.com/ipo/music-broadcast-ipo/623/" xr:uid="{4B31BA7D-27D8-4DA6-8675-7B668FB8CD40}"/>
    <hyperlink ref="B194" r:id="rId113" tooltip="DMart IPO Deatails" display="https://www.chittorgarh.com/ipo/avenue-supermarts-ipo/615/" xr:uid="{E85C02DF-B9D2-4892-96E7-2987C6636DBB}"/>
    <hyperlink ref="B195" r:id="rId114" tooltip="BSE Limited IPO Deatails" display="https://www.chittorgarh.com/ipo/bse-limited-ipo/611/" xr:uid="{F3F26119-A44C-4CF6-994F-9F69F3829569}"/>
    <hyperlink ref="B196" r:id="rId115" tooltip="Laurus Labs IPO Deatails" display="https://www.chittorgarh.com/ipo/laurus-labs-ipo/606/" xr:uid="{1635A153-77DD-4A4E-846C-455BCC510B9A}"/>
    <hyperlink ref="B197" r:id="rId116" tooltip="Sheela Foam IPO Deatails" display="https://www.chittorgarh.com/ipo/sheela-foam-ipo/602/" xr:uid="{8EF8E472-41ED-4B86-9E6B-C76945874FDB}"/>
    <hyperlink ref="B198" r:id="rId117" tooltip="PNB Housing Finance IPO Deatails" display="https://www.chittorgarh.com/ipo/pnb-housing-finance-ipo/599/" xr:uid="{F2FAAE36-6256-40D8-AB5F-FE8A05E619E6}"/>
    <hyperlink ref="B199" r:id="rId118" tooltip="Varun Beverages IPO Deatails" display="https://www.chittorgarh.com/ipo/varun-beverages-ipo/598/" xr:uid="{F28987EE-7B8F-41D5-93A1-F3D6105F8142}"/>
    <hyperlink ref="B200" r:id="rId119" tooltip="Endurance Technologies IPO Deatails" display="https://www.chittorgarh.com/ipo/endurance-technologies-ipo/593/" xr:uid="{2B3A9921-CBB2-4DE3-BC04-7C4EF2CFAEDD}"/>
    <hyperlink ref="B201" r:id="rId120" tooltip="HPL Electric IPO Deatails" display="https://www.chittorgarh.com/ipo/hpl_electric_ipo/579/" xr:uid="{A690DF90-9D5B-470E-8097-2DC065276FF5}"/>
    <hyperlink ref="B202" r:id="rId121" tooltip="ICICI Prudential Life IPO Deatails" display="https://www.chittorgarh.com/ipo/icici_prudential_life_ipo/571/" xr:uid="{C4BAFE46-ED71-4892-967F-B39E7456C16B}"/>
    <hyperlink ref="B203" r:id="rId122" tooltip="GNA Axles IPO Deatails" display="https://www.chittorgarh.com/ipo/gna_axles_ipo/574/" xr:uid="{F04F50A5-A304-44C7-96F1-55B4A3D6A8C0}"/>
    <hyperlink ref="B204" r:id="rId123" tooltip="L&amp;T Technology IPO Deatails" display="https://www.chittorgarh.com/ipo/l_t_technology_ipo/573/" xr:uid="{F11B3F06-6788-407D-BE67-E4D177E7E3B7}"/>
    <hyperlink ref="B205" r:id="rId124" tooltip="RBL Bank IPO Deatails" display="https://www.chittorgarh.com/ipo/rbl_bank_ipo/564/" xr:uid="{29A4A9B7-D3A4-4AF1-AE3F-59F145B66945}"/>
    <hyperlink ref="B206" r:id="rId125" tooltip="S P Apparels IPO Deatails" display="https://www.chittorgarh.com/ipo/s_p_apparels_ipo/563/" xr:uid="{97BD3521-0F59-44DA-91EC-632C3DC40772}"/>
    <hyperlink ref="B207" r:id="rId126" tooltip="Dilip Buildcon IPO Deatails" display="https://www.chittorgarh.com/ipo/dilip_buildcon_ipo/562/" xr:uid="{842C2B6F-1716-4658-A7CB-D5C47CB91713}"/>
    <hyperlink ref="B208" r:id="rId127" tooltip="Advanced Enzyme IPO Deatails" display="https://www.chittorgarh.com/ipo/advanced_enzyme_ipo/560/" xr:uid="{69A067CA-AD2A-44C2-83DA-8A8ABE400288}"/>
    <hyperlink ref="B209" r:id="rId128" tooltip="L&amp;T Infotech IPO Deatails" display="https://www.chittorgarh.com/ipo/l_t_infotech_ipo/555/" xr:uid="{6EA315CF-62D7-4379-B561-CAF0A08DF121}"/>
    <hyperlink ref="B210" r:id="rId129" tooltip="Quess Corp IPO Deatails" display="https://www.chittorgarh.com/ipo/quess_corp_ipo/552/" xr:uid="{092E6E02-1336-4EC5-BD37-47B4536C82E0}"/>
    <hyperlink ref="B211" r:id="rId130" tooltip="Mahanagar Gas IPO Deatails" display="https://www.chittorgarh.com/ipo/mahanagar_gas_ipo/551/" xr:uid="{8F0D38E5-9707-4057-A171-CA284CCCB6B1}"/>
    <hyperlink ref="B212" r:id="rId131" tooltip="Parag Milk IPO Deatails" display="https://www.chittorgarh.com/ipo/parag_milk_ipo/545/" xr:uid="{59FF5114-496F-4C0F-87C6-73BD0A7DE8E8}"/>
    <hyperlink ref="B213" r:id="rId132" tooltip="Ujjivan Financial Services IPO Deatails" display="https://www.chittorgarh.com/ipo/ujjivan_financial_services_ipo/543/" xr:uid="{8E0140A8-A5C7-4491-9A71-F6490B057697}"/>
    <hyperlink ref="B214" r:id="rId133" tooltip="Thyrocare Technologies IPO Deatails" display="https://www.chittorgarh.com/ipo/thyrocare_technologies_ipo/541/" xr:uid="{610BEB8D-ED2E-4B7D-BF56-F340133B2C92}"/>
    <hyperlink ref="B215" r:id="rId134" tooltip="Equitas Holdings IPO Deatails" display="https://www.chittorgarh.com/ipo/equitas_holdings_ipo/536/" xr:uid="{A93D5572-F22F-4819-996D-4F6799F8D1F2}"/>
    <hyperlink ref="B216" r:id="rId135" tooltip="Infibeam IPO Deatails" display="https://www.chittorgarh.com/ipo/infibeam_ipo/532/" xr:uid="{20E7BEC2-81F9-4467-AA0F-064E28C3F498}"/>
    <hyperlink ref="B217" r:id="rId136" tooltip="Bharat Wire Ropes IPO Deatails" display="https://www.chittorgarh.com/ipo/bharat_wire_ropes_ipo/530/" xr:uid="{4E504947-215C-4E38-A466-09D7DE6C21F5}"/>
    <hyperlink ref="B218" r:id="rId137" tooltip="Healthcare Global IPO Deatails" display="https://www.chittorgarh.com/ipo/healthcare_global_ipo/529/" xr:uid="{D4105F49-190B-4AF6-8DEE-2A9998E48BF6}"/>
    <hyperlink ref="B219" r:id="rId138" tooltip="Quick Heal IPO Deatails" display="https://www.chittorgarh.com/ipo/quick_heal_ipo/521/" xr:uid="{A20088C3-D1AD-4F2A-95F1-59BAC7853B94}"/>
    <hyperlink ref="B220" r:id="rId139" tooltip="TeamLease Services IPO Deatails" display="https://www.chittorgarh.com/ipo/teamlease_services_ipo/520/" xr:uid="{58F04084-2514-4EBC-AE97-C13031F819F7}"/>
    <hyperlink ref="B221" r:id="rId140" tooltip="Precision Camshafts IPO Deatails" display="https://www.chittorgarh.com/ipo/precision_camshafts_ipo/517/" xr:uid="{620E5628-0A7B-467A-91B1-7592F932151A}"/>
    <hyperlink ref="B222" r:id="rId141" tooltip="Narayana Hrudayalaya IPO Deatails" display="https://www.chittorgarh.com/ipo/narayana_hrudayalaya_ipo/513/" xr:uid="{2B6CAAF9-6EFD-4487-BAC5-DB089578390A}"/>
    <hyperlink ref="B223" r:id="rId142" tooltip="Alkem Laboratories IPO Deatails" display="https://www.chittorgarh.com/ipo/alkem_laboratories_ipo/512/" xr:uid="{EB928138-9FA1-4748-AE14-541A303EF114}"/>
    <hyperlink ref="B224" r:id="rId143" tooltip="Dr Lal PathLabs IPO Deatails" display="https://www.chittorgarh.com/ipo/dr_lal_pathlabs_ipo/511/" xr:uid="{E4211785-7294-4AB9-BD7C-6E10F0EE43F5}"/>
    <hyperlink ref="B225" r:id="rId144" tooltip="S H Kelkar IPO Deatails" display="https://www.chittorgarh.com/ipo/s_h_kelkar_ipo/508/" xr:uid="{56DE153E-FBD6-4985-9AC6-47ACA13413C9}"/>
    <hyperlink ref="B226" r:id="rId145" tooltip="IndiGo IPO Deatails" display="https://www.chittorgarh.com/ipo/indigo_ipo/492/" xr:uid="{A1D5FF9B-CDCF-4622-AC8A-28C27AFE4995}"/>
    <hyperlink ref="B227" r:id="rId146" tooltip="Cafe Coffee Day IPO Deatails" display="https://www.chittorgarh.com/ipo/cafe_coffee_day_ipo/507/" xr:uid="{13C6817C-3E22-43AF-8A26-2962C24B4B31}"/>
    <hyperlink ref="B228" r:id="rId147" tooltip="Sadbhav Infra IPO Deatails" display="https://www.chittorgarh.com/ipo/sadbhav_infra_ipo/494/" xr:uid="{765F36C7-E164-4FC7-82E6-9A24F6761DBB}"/>
    <hyperlink ref="B229" r:id="rId148" tooltip="Prabhat Dairy IPO Deatails" display="https://www.chittorgarh.com/ipo/prabhat_dairy_ipo/491/" xr:uid="{3FE96757-15F9-4238-B65C-749215D342B5}"/>
    <hyperlink ref="B230" r:id="rId149" tooltip="Shree Pushkar Chemicals IPO Deatails" display="https://www.chittorgarh.com/ipo/shree_pushkar_chemicals_ipo/493/" xr:uid="{0E33F0BA-720B-4EB9-8143-0D002C8595C3}"/>
    <hyperlink ref="B231" r:id="rId150" tooltip="Pennar Engineered IPO Deatails" display="https://www.chittorgarh.com/ipo/pennar_engineered_ipo/490/" xr:uid="{F5726909-9D36-4D3C-9028-547C8E235110}"/>
    <hyperlink ref="B232" r:id="rId151" tooltip="Navkar Corporation IPO Deatails" display="https://www.chittorgarh.com/ipo/navkar_corporation_ipo/488/" xr:uid="{57E41F37-95A7-4BE2-8175-2624EA03DE94}"/>
    <hyperlink ref="B233" r:id="rId152" tooltip="Power Mech Projects IPO Deatails" display="https://www.chittorgarh.com/ipo/power_mech_projects_ipo/486/" xr:uid="{850289CB-6ECA-4E30-9A5C-432F90B7C9EB}"/>
    <hyperlink ref="B234" r:id="rId153" tooltip="Syngene International IPO Deatails" display="https://www.chittorgarh.com/ipo/syngene_international_ipo/481/" xr:uid="{C69942E4-17E2-44C4-8AD7-356D4934F6E4}"/>
    <hyperlink ref="B235" r:id="rId154" tooltip="Manpasand Beverages IPO Deatails" display="https://www.chittorgarh.com/ipo/manpasand_beverages_ipo/472/" xr:uid="{1A7596BC-4C98-4E6E-84DD-39F32681D0AC}"/>
    <hyperlink ref="B236" r:id="rId155" tooltip="PNC Infratech IPO Deatails" display="https://www.chittorgarh.com/ipo/pnc_infratech_ipo/469/" xr:uid="{2D6C2544-8E82-4315-8CEF-DA3AFC4ED60B}"/>
    <hyperlink ref="B237" r:id="rId156" tooltip="UFO Moviez IPO Deatails" display="https://www.chittorgarh.com/ipo/ufo_moviez_ipo/468/" xr:uid="{DEBDF91B-2A5F-4A64-9FF0-557DDD5880B2}"/>
    <hyperlink ref="B238" r:id="rId157" tooltip="MEP Infrastructure IPO Deatails" display="https://www.chittorgarh.com/ipo/mep_infrastructure_ipo/467/" xr:uid="{BD2FFE6F-8C04-4AE8-A59B-F692402934C1}"/>
    <hyperlink ref="B239" r:id="rId158" tooltip="VRL Logistics IPO Deatails" display="https://www.chittorgarh.com/ipo/vrl_logistics_ipo/466/" xr:uid="{E1C33009-E694-4111-9930-056EAF0DCDF0}"/>
    <hyperlink ref="B240" r:id="rId159" tooltip="Inox Wind IPO Deatails" display="https://www.chittorgarh.com/ipo/inox_wind_ipo/438/" xr:uid="{84B7A457-1870-4389-9724-E729605E0264}"/>
    <hyperlink ref="B241" r:id="rId160" tooltip="Adlabs Entertainment IPO Deatails" display="https://www.chittorgarh.com/ipo/adlabs_entertainment_ipo/456/" xr:uid="{F783CBC4-EAEE-45CD-8C9C-50867E66EE14}"/>
    <hyperlink ref="B242" r:id="rId161" tooltip="Ortel Communications IPO Deatails" display="https://www.chittorgarh.com/ipo/ortel_communications_ipo/455/" xr:uid="{5435232A-C115-4832-8B30-775ECB0773E8}"/>
    <hyperlink ref="B243" r:id="rId162" tooltip="Monte Carlo IPO Deatails" display="https://www.chittorgarh.com/ipo/monte_carlo_ipo/437/" xr:uid="{99EC1F95-00C3-4A18-A83C-31E9238B2130}"/>
    <hyperlink ref="B244" r:id="rId163" tooltip="Shemaroo IPO Deatails" display="https://www.chittorgarh.com/ipo/shemaroo_ipo/431/" xr:uid="{CCF9D98F-16A4-4839-AADA-C5C03C10DEA7}"/>
    <hyperlink ref="B245" r:id="rId164" tooltip="Sharda Cropchem IPO Deatails" display="https://www.chittorgarh.com/ipo/sharda_cropchem_ipo/430/" xr:uid="{7312917C-DF84-4AFD-B1FF-8510193676FB}"/>
    <hyperlink ref="B246" r:id="rId165" tooltip="Snowman Logistics IPO Deatails" display="https://www.chittorgarh.com/ipo/snowman_logistics_ipo/428/" xr:uid="{8E61467C-EAD1-41EA-B98A-BF802209F382}"/>
    <hyperlink ref="B247" r:id="rId166" tooltip="Wonderla Holidays IPO Deatails" display="https://www.chittorgarh.com/ipo/wonderla_holidays_ipo/418/" xr:uid="{DA24A5B9-7110-47EB-B629-B4743D108FF7}"/>
    <hyperlink ref="B248" r:id="rId167" tooltip="Just Dial IPO Deatails" display="https://www.chittorgarh.com/ipo/just_dial_ipo/377/" xr:uid="{811A7D29-36EE-4935-BD45-D6471E95CEA4}"/>
    <hyperlink ref="B249" r:id="rId168" tooltip="Repco Home Finance IPO Deatails" display="https://www.chittorgarh.com/ipo/repco_home_finance_ipo/369/" xr:uid="{73D812E9-D3C4-4630-BABB-FD4BB50F28F7}"/>
    <hyperlink ref="B250" r:id="rId169" tooltip="V Mart Retail IPO Deatails" display="https://www.chittorgarh.com/ipo/v_mart_retail_ipo/363/" xr:uid="{78D76521-91B5-448D-8F32-D8DA5857DC28}"/>
    <hyperlink ref="B251" r:id="rId170" tooltip="Bharti Infratel IPO Deatails" display="https://www.chittorgarh.com/ipo/bharti_infratel_ipo/360/" xr:uid="{6476531D-EB8A-4203-8FC7-850EA9C0495B}"/>
    <hyperlink ref="B252" r:id="rId171" tooltip="PC Jeweller IPO Deatails" display="https://www.chittorgarh.com/ipo/pc_jeweller_ipo/359/" xr:uid="{3F4EF27B-DB03-416E-B89B-CC5AF0DB0307}"/>
    <hyperlink ref="B253" r:id="rId172" tooltip="CARE IPO Deatails" display="https://www.chittorgarh.com/ipo/care_ipo/358/" xr:uid="{31075126-3608-4A10-93CE-BF9B14301195}"/>
    <hyperlink ref="B254" r:id="rId173" tooltip="Tara Jewels IPO Deatails" display="https://www.chittorgarh.com/ipo/tara_jewels_ipo/356/" xr:uid="{922CCB0B-7E2A-49E8-9F3C-5A894ADA8C8D}"/>
    <hyperlink ref="B255" r:id="rId174" tooltip="VKS Projects IPO Deatails" display="https://www.chittorgarh.com/ipo/vks_projects_ipo/345/" xr:uid="{0EC32C09-6FFF-4E83-9B59-52EDF8AF71DD}"/>
    <hyperlink ref="B256" r:id="rId175" tooltip="Speciality Restaurants IPO Deatails" display="https://www.chittorgarh.com/ipo/speciality_restaurants_ipo/342/" xr:uid="{E99B06C5-A577-404D-AC0C-8702D805B251}"/>
    <hyperlink ref="B257" r:id="rId176" tooltip="Bhimji Zaveri IPO Deatails" display="https://www.chittorgarh.com/ipo/bhimji_zaveri_ipo/339/" xr:uid="{ED361E14-8B64-4342-99C1-CF655FC01302}"/>
    <hyperlink ref="B258" r:id="rId177" tooltip="MT Educare IPO Deatails" display="https://www.chittorgarh.com/ipo/mt_educare_ipo/338/" xr:uid="{BBCD5CA7-0A68-4076-BC7C-5B75644645A9}"/>
    <hyperlink ref="B259" r:id="rId178" tooltip="NBCC IPO Deatails" display="https://www.chittorgarh.com/ipo/nbcc_ipo/337/" xr:uid="{27083AED-3FF4-44FE-AD7C-5E9062560ED0}"/>
    <hyperlink ref="B260" r:id="rId179" tooltip="Olympic Cards IPO Deatails" display="https://www.chittorgarh.com/ipo/olympic_cards_ipo/336/" xr:uid="{F536D276-4238-4D42-BE18-6E40E1923E58}"/>
    <hyperlink ref="B261" r:id="rId180" tooltip="MCX IPO Deatails" display="https://www.chittorgarh.com/ipo/mcx_ipo/177/" xr:uid="{531F7ABF-9506-48E1-9290-F8067D9AF451}"/>
    <hyperlink ref="B262" r:id="rId181" tooltip="Indo Thai Securities IPO Deatails" display="https://www.chittorgarh.com/ipo/indo_thai_securities_ipo/333/" xr:uid="{744F8CB1-9D85-468F-A45B-46DA47DD6E82}"/>
    <hyperlink ref="B263" r:id="rId182" tooltip="Flexituff IPO Deatails" display="https://www.chittorgarh.com/ipo/flexituff_ipo/329/" xr:uid="{B6EE987D-7428-4275-AE91-53475E685B21}"/>
    <hyperlink ref="B264" r:id="rId183" tooltip="Taksheel Solutions IPO Deatails" display="https://www.chittorgarh.com/ipo/taksheel_solutions_ipo/326/" xr:uid="{4E69DFC8-5CDA-4775-9804-64BFC086E91F}"/>
    <hyperlink ref="B265" r:id="rId184" tooltip="Onelife Capital IPO Deatails" display="https://www.chittorgarh.com/ipo/onelife_capital_ipo/332/" xr:uid="{5910F5D2-91F1-42D6-A01F-874D6A09BE33}"/>
    <hyperlink ref="B266" r:id="rId185" tooltip="M and B Switchgears IPO Deatails" display="https://www.chittorgarh.com/ipo/m_and_b_switchgears_ipo/330/" xr:uid="{4BA1A882-6686-4418-B970-70978D6AD202}"/>
    <hyperlink ref="B267" r:id="rId186" tooltip="Tijaria Polypipes IPO Deatails" display="https://www.chittorgarh.com/ipo/tijaria_polypipes_ipo/327/" xr:uid="{B8E9474E-C5BC-4FE5-81FC-AA970C2F0C20}"/>
    <hyperlink ref="B268" r:id="rId187" tooltip="RDB Rasayans IPO Deatails" display="https://www.chittorgarh.com/ipo/rdb_rasayans_ipo/328/" xr:uid="{58A1877D-CDA5-4A3F-A9E8-BA30E029618F}"/>
    <hyperlink ref="B269" r:id="rId188" tooltip="Prakash Constrowell IPO Deatails" display="https://www.chittorgarh.com/ipo/prakash_constrowell_ipo/325/" xr:uid="{B373FF8C-CFA4-428A-8293-4FC8A122101D}"/>
    <hyperlink ref="B270" r:id="rId189" tooltip="PG Electroplast IPO Deatails" display="https://www.chittorgarh.com/ipo/pg_electroplast_ipo/324/" xr:uid="{6E68A623-D5DC-4C06-A594-B74956AA16F1}"/>
    <hyperlink ref="B271" r:id="rId190" tooltip="TD Power IPO Deatails" display="https://www.chittorgarh.com/ipo/td_power_ipo/323/" xr:uid="{5E547B12-892B-4713-A474-968AEA6519FC}"/>
    <hyperlink ref="B272" r:id="rId191" tooltip="SRS IPO Deatails" display="https://www.chittorgarh.com/ipo/srs_ipo/320/" xr:uid="{0C9F2D67-DA8E-415E-A127-267E97178BB8}"/>
    <hyperlink ref="B273" r:id="rId192" tooltip="Brooks Labs IPO Deatails" display="https://www.chittorgarh.com/ipo/brooks_labs_ipo/322/" xr:uid="{EB241D2D-3AB7-4B2A-9446-3373C3E08B08}"/>
    <hyperlink ref="B274" r:id="rId193" tooltip="Tree House IPO Deatails" display="https://www.chittorgarh.com/ipo/tree_house_ipo/321/" xr:uid="{AFC74D4F-2D20-4BE9-827C-227BBECBEA2F}"/>
    <hyperlink ref="B275" r:id="rId194" tooltip="L&amp;T Finance IPO Deatails" display="https://www.chittorgarh.com/ipo/l_t_finance_ipo/318/" xr:uid="{1E7BEDA2-F4EA-4BD3-B208-96DDC7EC02CF}"/>
    <hyperlink ref="B276" r:id="rId195" tooltip="Inventure Securities IPO Deatails" display="https://www.chittorgarh.com/ipo/inventure_securities_ipo/319/" xr:uid="{065DC677-4D09-4C57-858A-E82F89F02BA0}"/>
    <hyperlink ref="B277" r:id="rId196" tooltip="Bharatiya Global Infomedia IPO Deatails" display="https://www.chittorgarh.com/ipo/bharatiya_global_infomedia_ipo/317/" xr:uid="{3A35672F-3853-4B69-A7AF-68F810BE7B91}"/>
    <hyperlink ref="B278" r:id="rId197" tooltip="Readymade Steel India IPO Deatails" display="https://www.chittorgarh.com/ipo/readymade_steel_india_ipo/316/" xr:uid="{66F043BA-5924-4487-92C4-1A8A89B394F4}"/>
    <hyperlink ref="B279" r:id="rId198" tooltip="Rushil Decor IPO Deatails" display="https://www.chittorgarh.com/ipo/rushil_decor_ipo/315/" xr:uid="{E6670A5D-F777-44B2-BE80-D0D77E4B9951}"/>
    <hyperlink ref="B280" r:id="rId199" tooltip="Birla Pacific Medspa IPO Deatails" display="https://www.chittorgarh.com/ipo/birla_pacific_medspa_ipo/314/" xr:uid="{37A9A55B-FC12-46D4-AD08-0F512558454F}"/>
    <hyperlink ref="B281" r:id="rId200" tooltip="VMS Industries IPO Deatails" display="https://www.chittorgarh.com/ipo/vms_industries_ipo/313/" xr:uid="{23437CF5-D5A1-492E-8D79-81BAF6B2455E}"/>
    <hyperlink ref="B282" r:id="rId201" tooltip="Timbor Home IPO Deatails" display="https://www.chittorgarh.com/ipo/timbor_home_ipo/312/" xr:uid="{9CB3F6A9-9734-4BCB-A053-F5FC17517B7E}"/>
    <hyperlink ref="B283" r:id="rId202" tooltip="Aanjaneya IPO Deatails" display="https://www.chittorgarh.com/ipo/aanjaneya_ipo/308/" xr:uid="{A378CD41-D67A-47F7-BEED-8CE31A93701E}"/>
    <hyperlink ref="B284" r:id="rId203" tooltip="Sanghvi Forging IPO Deatails" display="https://www.chittorgarh.com/ipo/sanghvi_forging_ipo/307/" xr:uid="{52533765-2736-4F1A-851A-A4C111C45ADD}"/>
    <hyperlink ref="B285" r:id="rId204" tooltip="Servalakshmi IPO Deatails" display="https://www.chittorgarh.com/ipo/servalakshmi_ipo/301/" xr:uid="{18371848-141F-4495-BC24-795A4B6375CA}"/>
    <hyperlink ref="B286" r:id="rId205" tooltip="Innoventive Industries IPO Deatails" display="https://www.chittorgarh.com/ipo/innoventive_industries_ipo/303/" xr:uid="{2C0E6F8B-5F15-4255-A14E-4415C7967371}"/>
    <hyperlink ref="B287" r:id="rId206" tooltip="Future Ventures IPO Deatails" display="https://www.chittorgarh.com/ipo/future_ventures_ipo/304/" xr:uid="{86E09A41-F163-4808-A5F6-B806D7BF4C6E}"/>
    <hyperlink ref="B288" r:id="rId207" tooltip="Paramount Printpackaging IPO Deatails" display="https://www.chittorgarh.com/ipo/paramount_printpackaging_ipo/302/" xr:uid="{3B3FA1A3-1D05-44E5-A4FF-78FA5702C0A7}"/>
    <hyperlink ref="B289" r:id="rId208" tooltip="Muthoot IPO Deatails" display="https://www.chittorgarh.com/ipo/muthoot_ipo/300/" xr:uid="{E3B32AA2-D728-44CF-97D1-E8036B2F9C42}"/>
    <hyperlink ref="B290" r:id="rId209" tooltip="Shilpi Cables IPO Deatails" display="https://www.chittorgarh.com/ipo/shilpi_cables_ipo/299/" xr:uid="{EE5CC9B2-AAC3-4038-84EB-DEFD5F2584E7}"/>
    <hyperlink ref="B291" r:id="rId210" tooltip="PTC India IPO Deatails" display="https://www.chittorgarh.com/ipo/ptc_india_ipo/298/" xr:uid="{8C223DD6-6756-41D7-85F2-DED1E86E14A3}"/>
    <hyperlink ref="B292" r:id="rId211" tooltip="Lovable Lingeries IPO Deatails" display="https://www.chittorgarh.com/ipo/lovable_lingeries_ipo/297/" xr:uid="{CFF00754-009E-4025-950D-40AB14C7D61C}"/>
    <hyperlink ref="B293" r:id="rId212" tooltip="Acropetal IPO Deatails" display="https://www.chittorgarh.com/ipo/acropetal_ipo/296/" xr:uid="{90A43F94-D9FD-42EE-A00F-68DF31848DD0}"/>
    <hyperlink ref="B294" r:id="rId213" tooltip="Fineotex IPO Deatails" display="https://www.chittorgarh.com/ipo/fineotex_ipo/294/" xr:uid="{59AD0362-D367-4914-9A7D-7034E6A18D03}"/>
    <hyperlink ref="B295" r:id="rId214" tooltip="Sudar IPO Deatails" display="https://www.chittorgarh.com/ipo/sudar_ipo/295/" xr:uid="{B186CB20-8AB8-4C04-8CA2-2E0F8FF7AD2E}"/>
    <hyperlink ref="B296" r:id="rId215" tooltip="Omkar speciality IPO Deatails" display="https://www.chittorgarh.com/ipo/omkar_speciality_ipo/293/" xr:uid="{B2B33987-174C-471C-93D5-C52F0148AF7F}"/>
    <hyperlink ref="B297" r:id="rId216" tooltip="Midvalley Entertainment IPO Deatails" display="https://www.chittorgarh.com/ipo/midvalley_entertainment_ipo/291/" xr:uid="{3673B336-E18B-40A4-A987-75007E7FD773}"/>
    <hyperlink ref="B81" r:id="rId217" tooltip="Clean Science IPO Deatails" display="https://www.chittorgarh.com/ipo/clean-science-and-technology-ipo/1123/" xr:uid="{E5B5AB83-8E0D-44CF-9F57-211C5657F692}"/>
    <hyperlink ref="B80" r:id="rId218" tooltip="Zomato IPO Deatails" display="https://www.chittorgarh.com/ipo/zomato-ipo/1126/" xr:uid="{35538656-A85C-442D-A232-1E724910A0A4}"/>
    <hyperlink ref="B79" r:id="rId219" tooltip="Tatva Chintan Pharma IPO Deatails" display="https://www.chittorgarh.com/ipo/tatva-chintan-pharma-ipo/1127/" xr:uid="{BEAC4805-5A6D-4367-9F8C-23D7B341F304}"/>
    <hyperlink ref="B78" r:id="rId220" tooltip="Glenmark Life Sciences IPO Deatails" display="https://www.chittorgarh.com/ipo/glenmark-life-sciences-ipo/1124/" xr:uid="{3F2FB161-9F07-40B8-8968-A7996001A97A}"/>
    <hyperlink ref="B77" r:id="rId221" tooltip="Rolex Rings IPO Deatails" display="https://www.chittorgarh.com/ipo/rolex-rings-ipo/1129/" xr:uid="{38211F91-9DAD-4E39-AE3E-9D692A439ECB}"/>
    <hyperlink ref="B76" r:id="rId222" tooltip="Windlas Biotech IPO Deatails" display="https://www.chittorgarh.com/ipo/windlas-biotech-ipo/1135/" xr:uid="{94BCB338-D66B-4CB0-BC03-7AE7387377F4}"/>
    <hyperlink ref="B75" r:id="rId223" tooltip="Exxaro Tiles IPO Deatails" display="https://www.chittorgarh.com/ipo/exxaro-tiles-ipo/1134/" xr:uid="{2ECEAA51-340F-48F2-8A98-4517FD375460}"/>
    <hyperlink ref="B74" r:id="rId224" tooltip="Devyani International IPO Deatails" display="https://www.chittorgarh.com/ipo/devyani-international-ipo/1136/" xr:uid="{1106CA2E-EC89-4D10-BC00-6A86CA9BE0EA}"/>
    <hyperlink ref="B73" r:id="rId225" tooltip="Krsnaa Diagnostics IPO Deatails" display="https://www.chittorgarh.com/ipo/krsnaa-diagnostics-ipo/1138/" xr:uid="{69809D0D-56D3-43FD-95A5-EB91A6D20120}"/>
    <hyperlink ref="B72" r:id="rId226" tooltip="CarTrade Tech IPO Deatails" display="https://www.chittorgarh.com/ipo/cartrade-tech-ipo/1137/" xr:uid="{F4147E1C-4700-4082-9497-73390D5E0719}"/>
    <hyperlink ref="B71" r:id="rId227" tooltip="Nuvoco IPO Deatails" display="https://www.chittorgarh.com/ipo/nuvoco-ipo/1133/" xr:uid="{32F404D0-AE1B-43B1-B021-17248E789770}"/>
    <hyperlink ref="B70" r:id="rId228" tooltip="Chemplast Sanmar IPO Deatails" display="https://www.chittorgarh.com/ipo/chemplast-sanmar-ipo/1141/" xr:uid="{3BF1C0A5-A6B5-4476-8E64-EB209D95D2E0}"/>
    <hyperlink ref="B69" r:id="rId229" tooltip="Aptus Value Housing Finance IPO Deatails" display="https://www.chittorgarh.com/ipo/aptus-value-housing-finance-ipo/1140/" xr:uid="{46C81479-172E-4042-96AB-296887B17FB0}"/>
    <hyperlink ref="B68" r:id="rId230" tooltip="Ami  Organics IPO Deatails" display="https://www.chittorgarh.com/ipo/ami-organics-ipo/1143/" xr:uid="{747B3B4F-294F-459D-8824-3D7B73E44A84}"/>
    <hyperlink ref="B67" r:id="rId231" tooltip="Vijaya Diagnostic IPO Deatails" display="https://www.chittorgarh.com/ipo/vijaya-diagnostic-ipo/1145/" xr:uid="{14D96516-3E77-4360-91D0-61B670313936}"/>
    <hyperlink ref="B66" r:id="rId232" tooltip="Sansera Engineering IPO Deatails" display="https://www.chittorgarh.com/ipo/sansera-engineering-ipo/1149/" xr:uid="{42808040-E763-4E41-A544-632BE2CAFF08}"/>
    <hyperlink ref="B65" r:id="rId233" tooltip="Paras Defence and Space Technologies IPO Deatails" display="https://www.chittorgarh.com/ipo/paras-defence-and-space-technologies-ipo/1153/" xr:uid="{12BAFC96-A5C6-4DBD-8155-70A399A04F90}"/>
    <hyperlink ref="B64" r:id="rId234" tooltip="Aditya Birla Sun Life AMC IPO Deatails" display="https://www.chittorgarh.com/ipo/aditya-birla-sun-life-amc-ipo/1151/" xr:uid="{7CCB5A80-5962-4DA8-B162-DF05A04DA41E}"/>
    <hyperlink ref="B63" r:id="rId235" tooltip="Nykaa IPO Deatails" display="https://www.chittorgarh.com/ipo/nykaa-ipo/1170/" xr:uid="{A263F217-2AE6-4BE8-B580-2B5A8E62D873}"/>
    <hyperlink ref="B62" r:id="rId236" tooltip="Fino Payments Bank IPO Deatails" display="https://www.chittorgarh.com/ipo/fino-payments-bank-ipo/1166/" xr:uid="{591B17ED-4CDE-4B60-A235-55151DD7E2B6}"/>
    <hyperlink ref="B61" r:id="rId237" tooltip="Sigachi Industries IPO Deatails" display="https://www.chittorgarh.com/ipo/sigachi-industries-ipo/1175/" xr:uid="{B9710A96-C2A0-4437-9E33-2BB48B29FD30}"/>
    <hyperlink ref="B60" r:id="rId238" tooltip="PolicyBazaar IPO Deatails" display="https://www.chittorgarh.com/ipo/policybazaar-ipo/1172/" xr:uid="{9D10AE31-8E12-4B21-BBC1-032C04163992}"/>
    <hyperlink ref="B59" r:id="rId239" tooltip="SJS Enterprises IPO Deatails" display="https://www.chittorgarh.com/ipo/sjs-enterprises-ipo/1168/" xr:uid="{40E77B9D-478F-472A-8DA3-F70C7CB27F6F}"/>
    <hyperlink ref="B58" r:id="rId240" tooltip="Paytm IPO Deatails" display="https://www.chittorgarh.com/ipo/paytm-ipo/1128/" xr:uid="{2F8259F3-4D08-49AB-B315-998C161616E5}"/>
    <hyperlink ref="B57" r:id="rId241" tooltip="Sapphire Foods IPO Deatails" display="https://www.chittorgarh.com/ipo/sapphire-foods-ipo/1177/" xr:uid="{DC59A10B-13B9-4015-B474-216184EEE40F}"/>
    <hyperlink ref="B56" r:id="rId242" tooltip="Latent View Analytics IPO Deatails" display="https://www.chittorgarh.com/ipo/latent-view-analytics-ipo/1178/" xr:uid="{64AEC127-C23E-4934-8FF2-434C433BF4D7}"/>
    <hyperlink ref="B55" r:id="rId243" tooltip="Tarsons Products IPO Deatails" display="https://www.chittorgarh.com/ipo/tarsons-products-ipo/1179/" xr:uid="{4A477045-F56C-4995-BEAC-D35D259260D1}"/>
    <hyperlink ref="B54" r:id="rId244" tooltip="GoColors IPO Deatails" display="https://www.chittorgarh.com/ipo/gocolors-ipo/1181/" xr:uid="{622F57A9-3BB8-4C7F-ADAB-26F92A1587B4}"/>
    <hyperlink ref="B53" r:id="rId245" tooltip="Star Health IPO Deatails" display="https://www.chittorgarh.com/ipo/star-health-ipo/1184/" xr:uid="{4C360A78-1071-4C5D-94F9-562606580DA1}"/>
    <hyperlink ref="B52" r:id="rId246" tooltip="Tega Industries IPO Deatails" display="https://www.chittorgarh.com/ipo/tega-industries-ipo/1185/" xr:uid="{5D53780A-C124-434E-B014-298AB69FC68D}"/>
    <hyperlink ref="B51" r:id="rId247" tooltip="Anand Rathi IPO Deatails" display="https://www.chittorgarh.com/ipo/anand-rathi-ipo/1186/" xr:uid="{6F1165D5-45B2-48F8-932E-12AB67E872DB}"/>
    <hyperlink ref="B50" r:id="rId248" tooltip="RateGain IPO Deatails" display="https://www.chittorgarh.com/ipo/rategain-ipo/1189/" xr:uid="{A8E02200-4867-4156-B94D-5873FA6AE81A}"/>
    <hyperlink ref="B49" r:id="rId249" tooltip="Shriram Properties IPO Deatails" display="https://www.chittorgarh.com/ipo/shriram-properties-ipo/1191/" xr:uid="{3EEB5090-FEE6-4DFC-AF0D-6B0224FBDBE9}"/>
    <hyperlink ref="B48" r:id="rId250" tooltip="MapmyIndia IPO Deatails" display="https://www.chittorgarh.com/ipo/mapmyindia-ipo/1187/" xr:uid="{6B78669A-61FD-4014-9625-126079D4851E}"/>
    <hyperlink ref="B47" r:id="rId251" tooltip="Metro Brands IPO Deatails" display="https://www.chittorgarh.com/ipo/metro-brands-ipo/1193/" xr:uid="{2176E359-4FE1-4882-BAD3-B1A7CBB73C09}"/>
    <hyperlink ref="B46" r:id="rId252" tooltip="Medplus Health IPO Deatails" display="https://www.chittorgarh.com/ipo/medplus-health-ipo/1195/" xr:uid="{1F88774A-72AD-4045-A6F1-C853C605F0AD}"/>
    <hyperlink ref="B45" r:id="rId253" tooltip="Data Patterns IPO Deatails" display="https://www.chittorgarh.com/ipo/data-patterns-ipo/1190/" xr:uid="{F50BD5B0-BC27-4A93-9AF1-54ABF3FD68D3}"/>
    <hyperlink ref="B44" r:id="rId254" tooltip="HP Adhesives IPO Deatails" display="https://www.chittorgarh.com/ipo/hp-adhesives-ipo/1194/" xr:uid="{B533FFA8-2E12-489F-B135-46A62172052E}"/>
    <hyperlink ref="B43" r:id="rId255" tooltip="Supriya Lifescience IPO Deatails" display="https://www.chittorgarh.com/ipo/supriya-lifescience-ipo/1197/" xr:uid="{6C163295-74BD-4848-9DB5-B87608FDF99B}"/>
    <hyperlink ref="B42" r:id="rId256" tooltip="CMS Info Systems IPO Deatails" display="https://www.chittorgarh.com/ipo/cms-info-systems-ipo/1203/" xr:uid="{7AE8F70A-ECC7-4EC2-8545-5A276220ACD5}"/>
    <hyperlink ref="B2" r:id="rId257" tooltip="Sah Polymers IPO Deatails" display="https://www.chittorgarh.com/ipo/sah-polymers-ipo/1347/" xr:uid="{0EAD6B31-D79F-4FFB-811D-4590007259DB}"/>
    <hyperlink ref="B3" r:id="rId258" tooltip="Radiant Cash Management IPO Deatails" display="https://www.chittorgarh.com/ipo/radiant-cash-management-ipo/1355/" xr:uid="{0D31AC72-09F5-4255-B8E1-7C36EFE9ED57}"/>
    <hyperlink ref="B4" r:id="rId259" tooltip="Elin Electronics IPO Deatails" display="https://www.chittorgarh.com/ipo/elin-electronics-ipo/1346/" xr:uid="{3C2EE56A-9030-40D8-A688-2F7B6E5FA5D2}"/>
    <hyperlink ref="B5" r:id="rId260" tooltip="KFin Technologies IPO Deatails" display="https://www.chittorgarh.com/ipo/kfin-technologies-ipo/1354/" xr:uid="{B15CD402-2220-4A7A-AAEC-4857BC9C9A9C}"/>
    <hyperlink ref="B6" r:id="rId261" tooltip="Abans Holdings IPO Deatails" display="https://www.chittorgarh.com/ipo/abans-holdings-ipo/1350/" xr:uid="{F7B47A0A-70CC-4234-B68D-9EBC4F968E3E}"/>
    <hyperlink ref="B7" r:id="rId262" tooltip="Landmark Cars IPO Deatails" display="https://www.chittorgarh.com/ipo/landmark-cars-ipo/1338/" xr:uid="{3A8BC9BB-82E7-4097-B9B1-1E3248B50552}"/>
    <hyperlink ref="B8" r:id="rId263" tooltip="Sula Vineyards IPO Deatails" display="https://www.chittorgarh.com/ipo/sula-vineyards-ipo/1345/" xr:uid="{D28CE85D-0660-4BBF-BDED-FAF17404448C}"/>
    <hyperlink ref="B9" r:id="rId264" tooltip="Uniparts India IPO Deatails" display="https://www.chittorgarh.com/ipo/uniparts-india-ipo/1324/" xr:uid="{39A93997-307D-4184-B143-71FE3398E0A6}"/>
    <hyperlink ref="B10" r:id="rId265" tooltip="Dharmaj Crop Guard IPO Deatails" display="https://www.chittorgarh.com/ipo/dharmaj-crop-guard-ipo/1339/" xr:uid="{49B0D8A8-E60E-46A4-8FE5-36FF3B5396B3}"/>
    <hyperlink ref="B11" r:id="rId266" tooltip="Keystone Realtors IPO Deatails" display="https://www.chittorgarh.com/ipo/keystone-realtors-ipo/1336/" xr:uid="{C59090AF-18D4-4758-AD7E-EBBAB19E702E}"/>
    <hyperlink ref="B12" r:id="rId267" tooltip="Inox Green Energy IPO Deatails" display="https://www.chittorgarh.com/ipo/inox-green-energy-ipo/1335/" xr:uid="{65B4EFEF-8140-4692-8FC1-2452A3256BBE}"/>
    <hyperlink ref="B13" r:id="rId268" tooltip="Kaynes Technology IPO Deatails" display="https://www.chittorgarh.com/ipo/kaynes-technology-ipo/1321/" xr:uid="{E546CA4B-CC16-4036-8AA2-2AB5CCA3591F}"/>
    <hyperlink ref="B14" r:id="rId269" tooltip="Archean Chemical IPO Deatails" display="https://www.chittorgarh.com/ipo/archean-chemical-ipo/1334/" xr:uid="{4A4F077B-A76D-4A4F-8D55-2E20887F0F1D}"/>
    <hyperlink ref="B15" r:id="rId270" tooltip="Five Star Business Finance IPO Deatails" display="https://www.chittorgarh.com/ipo/five-star-business-finance-ipo/1327/" xr:uid="{6CEE4DE4-2F5D-491C-8CAC-C97D11903E7C}"/>
    <hyperlink ref="B16" r:id="rId271" tooltip="Bikaji Foods IPO Deatails" display="https://www.chittorgarh.com/ipo/bikaji-foods-ipo/1332/" xr:uid="{9BBD996B-F436-44E5-A01B-F54BA1376500}"/>
    <hyperlink ref="B17" r:id="rId272" tooltip="Global Health IPO Deatails" display="https://www.chittorgarh.com/ipo/global-health-ipo/1330/" xr:uid="{DD85DB91-EEBE-41DE-853F-B723C4642A8A}"/>
    <hyperlink ref="B18" r:id="rId273" tooltip="Fusion Micro Finance IPO Deatails" display="https://www.chittorgarh.com/ipo/fusion-micro-finance-ipo/1331/" xr:uid="{060376E8-36AE-4C76-882E-D0A5970A3890}"/>
    <hyperlink ref="B19" r:id="rId274" tooltip="DCX Systems IPO Deatails" display="https://www.chittorgarh.com/ipo/dcx-systems-ipo/1316/" xr:uid="{5FB0AB5E-B48C-44B0-AB6F-3423DE7F292C}"/>
    <hyperlink ref="B20" r:id="rId275" tooltip="Tracxn Technologies IPO Deatails" display="https://www.chittorgarh.com/ipo/tracxn-ipo/1199/" xr:uid="{CD4BEF09-FC7E-428C-8D57-C4785D6D1AE4}"/>
    <hyperlink ref="B21" r:id="rId276" tooltip="Electronics Mart India IPO Deatails" display="https://www.chittorgarh.com/ipo/electronics-mart-india-ipo/1318/" xr:uid="{A0E74E6C-29B1-401A-9FF7-17A2F3652A4F}"/>
    <hyperlink ref="B22" r:id="rId277" tooltip="Harsha Engineers IPO Deatails" display="https://www.chittorgarh.com/ipo/harsha-engineers-international-ipo/1283/" xr:uid="{CB49B729-4A03-422F-B5DE-2E66CEF9DB73}"/>
    <hyperlink ref="B23" r:id="rId278" tooltip="Tamilnad Mercantile Bank IPO Deatails" display="https://www.chittorgarh.com/ipo/tamilnad-mercantile-bank-ipo/1287/" xr:uid="{27C8DB3A-B8B6-482B-AD11-5EA7C758B0AF}"/>
    <hyperlink ref="B24" r:id="rId279" tooltip="Dreamfolks Services IPO Deatails" display="https://www.chittorgarh.com/ipo/dreamfolks-services-ipo/1281/" xr:uid="{81000B1A-D038-4A38-B60A-E43D75077893}"/>
    <hyperlink ref="B25" r:id="rId280" tooltip="Syrma IPO Deatails" display="https://www.chittorgarh.com/ipo/syrma-ipo/1276/" xr:uid="{B9D50595-7031-48EF-8CB3-6F8D0D6F6665}"/>
    <hyperlink ref="B26" r:id="rId281" tooltip="Aether Industries IPO Deatails" display="https://www.chittorgarh.com/ipo/aether-industries-ipo/1257/" xr:uid="{C4DE612E-4EA0-4C75-A2BB-2B6076C7A0FB}"/>
    <hyperlink ref="B27" r:id="rId282" tooltip="eMudhra IPO Deatails" display="https://www.chittorgarh.com/ipo/emudhra-ipo/1254/" xr:uid="{53BB2C52-93A4-44BB-BF8E-37BD6BEFE1E6}"/>
    <hyperlink ref="B28" r:id="rId283" tooltip="Ethos Limited IPO Deatails" display="https://www.chittorgarh.com/ipo/ethos-limited-ipo/1247/" xr:uid="{0A91F825-7AD3-451B-89ED-B69622394F8D}"/>
    <hyperlink ref="B29" r:id="rId284" tooltip="Paradeep Phosphates IPO Deatails" display="https://www.chittorgarh.com/ipo/paradeep-phosphates-ipo/1253/" xr:uid="{5E2C5325-05EE-4390-B5AE-4456389F22C1}"/>
    <hyperlink ref="B30" r:id="rId285" tooltip="Venus Pipes &amp; Tubes IPO Deatails" display="https://www.chittorgarh.com/ipo/venus-pipes-tubes-ipo/1248/" xr:uid="{701FCE05-A3BE-4B36-8767-0259ADC69D43}"/>
    <hyperlink ref="B31" r:id="rId286" tooltip="Delhivery IPO Deatails" display="https://www.chittorgarh.com/ipo/delhivery-ipo/1213/" xr:uid="{4C512192-9E85-44BD-9856-F1CDC465D21A}"/>
    <hyperlink ref="B32" r:id="rId287" tooltip="Prudent Corporate Advisory Services IPO Deatails" display="https://www.chittorgarh.com/ipo/prudent-corporate-advisory-services-ipo/1252/" xr:uid="{8C7C07F1-8FF7-44F4-8AC8-1EF650AF5139}"/>
    <hyperlink ref="B33" r:id="rId288" tooltip="LIC IPO Deatails" display="https://www.chittorgarh.com/ipo/lic-ipo/1221/" xr:uid="{7E3EA370-03D6-4662-AE67-E42B2E9CF8DD}"/>
    <hyperlink ref="B34" r:id="rId289" tooltip="Rainbow Children Medicare IPO Deatails" display="https://www.chittorgarh.com/ipo/rainbow-children-medicare-ipo/1250/" xr:uid="{441355DF-57A3-4443-A8E5-A86A253BCA2E}"/>
    <hyperlink ref="B35" r:id="rId290" tooltip="Campus Activewear IPO Deatails" display="https://www.chittorgarh.com/ipo/campus-activewear-ipo/1249/" xr:uid="{AA5CAD31-E4E4-4478-AF6C-5B2CAA11AE3E}"/>
    <hyperlink ref="B36" r:id="rId291" tooltip="Hariom Pipe Industries IPO Deatails" display="https://www.chittorgarh.com/ipo/hariom-pipe-industries-ipo/1240/" xr:uid="{079F1443-3998-42F1-986A-7BB94168F832}"/>
    <hyperlink ref="B37" r:id="rId292" tooltip="Veranda Learning IPO Deatails" display="https://www.chittorgarh.com/ipo/veranda-learning-ipo/1236/" xr:uid="{6A896F93-9B0E-4ACC-943C-CC6AADB01D0C}"/>
    <hyperlink ref="B38" r:id="rId293" tooltip="Uma Exports IPO Deatails" display="https://www.chittorgarh.com/ipo/uma-exports-ipo/1235/" xr:uid="{CE5FE314-04ED-49C8-9A6C-9B158FE57466}"/>
    <hyperlink ref="B39" r:id="rId294" tooltip="Manyavar IPO Deatails" display="https://www.chittorgarh.com/ipo/vedant-fashions-ipo/1217/" xr:uid="{E06FD2ED-3DAE-4F54-BD03-F114D5F61A6A}"/>
    <hyperlink ref="B40" r:id="rId295" tooltip="Adani Wilmar IPO Deatails" display="https://www.chittorgarh.com/ipo/adani-wilmar-ipo/1173/" xr:uid="{BC573871-9C5F-4FC0-9784-6C709070F150}"/>
    <hyperlink ref="B41" r:id="rId296" tooltip="AGS Transact IPO Deatails" display="https://www.chittorgarh.com/ipo/ags-transact-ipo/1209/" xr:uid="{3EAF41AF-6E1B-4D92-8887-26BD819207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Kalra</dc:creator>
  <cp:lastModifiedBy>Shivani Kalra</cp:lastModifiedBy>
  <dcterms:created xsi:type="dcterms:W3CDTF">2025-01-11T08:38:27Z</dcterms:created>
  <dcterms:modified xsi:type="dcterms:W3CDTF">2025-01-18T06:54:49Z</dcterms:modified>
</cp:coreProperties>
</file>